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shboard" sheetId="2" state="visible" r:id="rId4"/>
    <sheet name="Dat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<sst xmlns="http://schemas.openxmlformats.org/spreadsheetml/2006/main" count="34" uniqueCount="33">
  <si>
    <t xml:space="preserve">CD-M1 · Executive Dashboard</t>
  </si>
  <si>
    <t xml:space="preserve">Consumer Duty Implementation — Monitoring &amp; Management Information</t>
  </si>
  <si>
    <t xml:space="preserve">Purpose</t>
  </si>
  <si>
    <t xml:space="preserve">This dashboard presents a single-page, chart-based summary of Consumer Duty performance for senior management and the Consumer Duty Oversight Committee, built from the underlying data in the Data tab.</t>
  </si>
  <si>
    <t xml:space="preserve">How to use this workbook</t>
  </si>
  <si>
    <t xml:space="preserve">1. Update the figures in the Data tab each reporting period.
2. The Dashboard tab charts update automatically.
3. Present the Dashboard tab directly in Committee papers, or copy the charts into the Board Reporting Pack Template (CD-M3).</t>
  </si>
  <si>
    <t xml:space="preserve">Note</t>
  </si>
  <si>
    <t xml:space="preserve">This dashboard summarises at outcome level. For detailed drill-down, refer to the MI Dashboard Specification (CD-M1) and the underlying source registers referenced there.</t>
  </si>
  <si>
    <t xml:space="preserve">CD-M1 · Consumer Duty Executive Dashboard</t>
  </si>
  <si>
    <t xml:space="preserve">Auto-updates from the Data tab</t>
  </si>
  <si>
    <t xml:space="preserve">Source figures: Data tab. Update each reporting period; charts refresh automatically.</t>
  </si>
  <si>
    <t xml:space="preserve">CD-M1 · Executive Dashboard — Source Data</t>
  </si>
  <si>
    <t xml:space="preserve">Update these figures each reporting period</t>
  </si>
  <si>
    <t xml:space="preserve">Outcome Area</t>
  </si>
  <si>
    <t xml:space="preserve">Score (1-5)</t>
  </si>
  <si>
    <t xml:space="preserve">RAG</t>
  </si>
  <si>
    <t xml:space="preserve">Cross-Cutting Rules</t>
  </si>
  <si>
    <t xml:space="preserve">Products and Services</t>
  </si>
  <si>
    <t xml:space="preserve">Price and Value</t>
  </si>
  <si>
    <t xml:space="preserve">Consumer Understanding</t>
  </si>
  <si>
    <t xml:space="preserve">Consumer Support</t>
  </si>
  <si>
    <t xml:space="preserve">Complaint Trend (last 6 months)</t>
  </si>
  <si>
    <t xml:space="preserve">Month</t>
  </si>
  <si>
    <t xml:space="preserve">Complaints</t>
  </si>
  <si>
    <t xml:space="preserve">Oct-25</t>
  </si>
  <si>
    <t xml:space="preserve">Nov-25</t>
  </si>
  <si>
    <t xml:space="preserve">Dec-25</t>
  </si>
  <si>
    <t xml:space="preserve">Jan-26</t>
  </si>
  <si>
    <t xml:space="preserve">Feb-26</t>
  </si>
  <si>
    <t xml:space="preserve">Mar-26</t>
  </si>
  <si>
    <t xml:space="preserve">Green</t>
  </si>
  <si>
    <t xml:space="preserve">Amber</t>
  </si>
  <si>
    <t xml:space="preserve">Red</t>
  </si>
</sst>
</file>

<file path=xl/styles.xml><?xml version="1.0" encoding="utf-8"?>
<styleSheet xmlns="http://schemas.openxmlformats.org/spreadsheetml/2006/main">
  <numFmts count="2">
    <numFmt numFmtId="164" formatCode="General"/>
    <numFmt numFmtId="165" formatCode="0.0"/>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i val="true"/>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b val="true"/>
      <sz val="11"/>
      <name val="Arial"/>
      <family val="0"/>
      <charset val="1"/>
    </font>
    <font>
      <b val="true"/>
      <sz val="10"/>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2E5C8A"/>
        <bgColor rgb="FF59595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696B"/>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BE4B48"/>
      <rgbColor rgb="FFF9F9F9"/>
      <rgbColor rgb="FFCCFFFF"/>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4F81BD"/>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Outcome Scores (1-5)</a:t>
            </a:r>
          </a:p>
        </c:rich>
      </c:tx>
      <c:overlay val="0"/>
      <c:spPr>
        <a:noFill/>
        <a:ln w="0">
          <a:noFill/>
        </a:ln>
      </c:spPr>
    </c:title>
    <c:autoTitleDeleted val="0"/>
    <c:plotArea>
      <c:barChart>
        <c:barDir val="col"/>
        <c:grouping val="clustered"/>
        <c:varyColors val="0"/>
        <c:ser>
          <c:idx val="0"/>
          <c:order val="0"/>
          <c:tx>
            <c:strRef>
              <c:f>Data!B4</c:f>
              <c:strCache>
                <c:ptCount val="1"/>
                <c:pt idx="0">
                  <c:v>Score (1-5)</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Data!$A$5:$A$9</c:f>
              <c:strCache>
                <c:ptCount val="5"/>
                <c:pt idx="0">
                  <c:v>Cross-Cutting Rules</c:v>
                </c:pt>
                <c:pt idx="1">
                  <c:v>Products and Services</c:v>
                </c:pt>
                <c:pt idx="2">
                  <c:v>Price and Value</c:v>
                </c:pt>
                <c:pt idx="3">
                  <c:v>Consumer Understanding</c:v>
                </c:pt>
                <c:pt idx="4">
                  <c:v>Consumer Support</c:v>
                </c:pt>
              </c:strCache>
            </c:strRef>
          </c:cat>
          <c:val>
            <c:numRef>
              <c:f>Data!$B$5:$B$9</c:f>
              <c:numCache>
                <c:formatCode>0.0</c:formatCode>
                <c:ptCount val="5"/>
                <c:pt idx="0">
                  <c:v>3.8</c:v>
                </c:pt>
                <c:pt idx="1">
                  <c:v>3.4</c:v>
                </c:pt>
                <c:pt idx="2">
                  <c:v>2.9</c:v>
                </c:pt>
                <c:pt idx="3">
                  <c:v>3.6</c:v>
                </c:pt>
                <c:pt idx="4">
                  <c:v>3.1</c:v>
                </c:pt>
              </c:numCache>
            </c:numRef>
          </c:val>
        </c:ser>
        <c:gapWidth val="150"/>
        <c:overlap val="0"/>
        <c:axId val="22528005"/>
        <c:axId val="38269846"/>
      </c:barChart>
      <c:catAx>
        <c:axId val="225280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269846"/>
        <c:crosses val="autoZero"/>
        <c:auto val="1"/>
        <c:lblAlgn val="ctr"/>
        <c:lblOffset val="100"/>
        <c:noMultiLvlLbl val="0"/>
      </c:catAx>
      <c:valAx>
        <c:axId val="38269846"/>
        <c:scaling>
          <c:orientation val="minMax"/>
          <c:max val="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Score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5280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Complaint Volume Trend</a:t>
            </a:r>
          </a:p>
        </c:rich>
      </c:tx>
      <c:overlay val="0"/>
      <c:spPr>
        <a:noFill/>
        <a:ln w="0">
          <a:noFill/>
        </a:ln>
      </c:spPr>
    </c:title>
    <c:autoTitleDeleted val="0"/>
    <c:plotArea>
      <c:lineChart>
        <c:grouping val="standard"/>
        <c:varyColors val="0"/>
        <c:ser>
          <c:idx val="0"/>
          <c:order val="0"/>
          <c:tx>
            <c:strRef>
              <c:f>Data!B13</c:f>
              <c:strCache>
                <c:ptCount val="1"/>
                <c:pt idx="0">
                  <c:v>Complaints</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Data!$A$14:$A$19</c:f>
              <c:strCache>
                <c:ptCount val="6"/>
                <c:pt idx="0">
                  <c:v>Oct-25</c:v>
                </c:pt>
                <c:pt idx="1">
                  <c:v>Nov-25</c:v>
                </c:pt>
                <c:pt idx="2">
                  <c:v>Dec-25</c:v>
                </c:pt>
                <c:pt idx="3">
                  <c:v>Jan-26</c:v>
                </c:pt>
                <c:pt idx="4">
                  <c:v>Feb-26</c:v>
                </c:pt>
                <c:pt idx="5">
                  <c:v>Mar-26</c:v>
                </c:pt>
              </c:strCache>
            </c:strRef>
          </c:cat>
          <c:val>
            <c:numRef>
              <c:f>Data!$B$14:$B$19</c:f>
              <c:numCache>
                <c:formatCode>General</c:formatCode>
                <c:ptCount val="6"/>
                <c:pt idx="0">
                  <c:v>210</c:v>
                </c:pt>
                <c:pt idx="1">
                  <c:v>225</c:v>
                </c:pt>
                <c:pt idx="2">
                  <c:v>260</c:v>
                </c:pt>
                <c:pt idx="3">
                  <c:v>240</c:v>
                </c:pt>
                <c:pt idx="4">
                  <c:v>275</c:v>
                </c:pt>
                <c:pt idx="5">
                  <c:v>300</c:v>
                </c:pt>
              </c:numCache>
            </c:numRef>
          </c:val>
          <c:smooth val="1"/>
        </c:ser>
        <c:hiLowLines>
          <c:spPr>
            <a:ln w="0">
              <a:noFill/>
            </a:ln>
          </c:spPr>
        </c:hiLowLines>
        <c:marker val="0"/>
        <c:axId val="46028985"/>
        <c:axId val="62430142"/>
      </c:lineChart>
      <c:catAx>
        <c:axId val="460289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430142"/>
        <c:crosses val="autoZero"/>
        <c:auto val="1"/>
        <c:lblAlgn val="ctr"/>
        <c:lblOffset val="100"/>
        <c:noMultiLvlLbl val="0"/>
      </c:catAx>
      <c:valAx>
        <c:axId val="624301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Complaints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02898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Outcome RAG Split</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63be7b"/>
              </a:solidFill>
              <a:ln w="0">
                <a:noFill/>
              </a:ln>
            </c:spPr>
          </c:dPt>
          <c:dPt>
            <c:idx val="1"/>
            <c:spPr>
              <a:solidFill>
                <a:srgbClr val="ffeb84"/>
              </a:solidFill>
              <a:ln w="0">
                <a:noFill/>
              </a:ln>
            </c:spPr>
          </c:dPt>
          <c:dPt>
            <c:idx val="2"/>
            <c:spPr>
              <a:solidFill>
                <a:srgbClr val="f8696b"/>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Data!$A$30:$A$32</c:f>
              <c:strCache>
                <c:ptCount val="3"/>
                <c:pt idx="0">
                  <c:v>Green</c:v>
                </c:pt>
                <c:pt idx="1">
                  <c:v>Amber</c:v>
                </c:pt>
                <c:pt idx="2">
                  <c:v>Red</c:v>
                </c:pt>
              </c:strCache>
            </c:strRef>
          </c:cat>
          <c:val>
            <c:numRef>
              <c:f>Data!$B$30:$B$32</c:f>
              <c:numCache>
                <c:formatCode>General</c:formatCode>
                <c:ptCount val="3"/>
                <c:pt idx="0">
                  <c:v>0</c:v>
                </c:pt>
                <c:pt idx="1">
                  <c:v>5</c:v>
                </c:pt>
                <c:pt idx="2">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0</xdr:rowOff>
    </xdr:from>
    <xdr:to>
      <xdr:col>5</xdr:col>
      <xdr:colOff>825840</xdr:colOff>
      <xdr:row>18</xdr:row>
      <xdr:rowOff>21960</xdr:rowOff>
    </xdr:to>
    <xdr:graphicFrame>
      <xdr:nvGraphicFramePr>
        <xdr:cNvPr id="0" name="Chart 1"/>
        <xdr:cNvGraphicFramePr/>
      </xdr:nvGraphicFramePr>
      <xdr:xfrm>
        <a:off x="0" y="7905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21</xdr:row>
      <xdr:rowOff>0</xdr:rowOff>
    </xdr:from>
    <xdr:to>
      <xdr:col>5</xdr:col>
      <xdr:colOff>825840</xdr:colOff>
      <xdr:row>36</xdr:row>
      <xdr:rowOff>21960</xdr:rowOff>
    </xdr:to>
    <xdr:graphicFrame>
      <xdr:nvGraphicFramePr>
        <xdr:cNvPr id="1" name="Chart 2"/>
        <xdr:cNvGraphicFramePr/>
      </xdr:nvGraphicFramePr>
      <xdr:xfrm>
        <a:off x="0" y="421956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3</xdr:row>
      <xdr:rowOff>0</xdr:rowOff>
    </xdr:from>
    <xdr:to>
      <xdr:col>15</xdr:col>
      <xdr:colOff>542160</xdr:colOff>
      <xdr:row>18</xdr:row>
      <xdr:rowOff>21960</xdr:rowOff>
    </xdr:to>
    <xdr:graphicFrame>
      <xdr:nvGraphicFramePr>
        <xdr:cNvPr id="2" name="Chart 3"/>
        <xdr:cNvGraphicFramePr/>
      </xdr:nvGraphicFramePr>
      <xdr:xfrm>
        <a:off x="9867960" y="790560"/>
        <a:ext cx="35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42"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4"/>
  </cols>
  <sheetData>
    <row r="1" customFormat="false" ht="27.75" hidden="false" customHeight="true" outlineLevel="0" collapsed="false">
      <c r="A1" s="1" t="s">
        <v>8</v>
      </c>
      <c r="B1" s="1"/>
      <c r="C1" s="1"/>
      <c r="D1" s="1"/>
      <c r="E1" s="1"/>
      <c r="F1" s="1"/>
      <c r="G1" s="1"/>
      <c r="H1" s="1"/>
      <c r="I1" s="1"/>
      <c r="J1" s="1"/>
    </row>
    <row r="2" customFormat="false" ht="19.5" hidden="false" customHeight="true" outlineLevel="0" collapsed="false">
      <c r="A2" s="2" t="s">
        <v>9</v>
      </c>
      <c r="B2" s="2"/>
      <c r="C2" s="2"/>
      <c r="D2" s="2"/>
      <c r="E2" s="2"/>
      <c r="F2" s="2"/>
      <c r="G2" s="2"/>
      <c r="H2" s="2"/>
      <c r="I2" s="2"/>
      <c r="J2" s="2"/>
    </row>
    <row r="40" customFormat="false" ht="15" hidden="false" customHeight="false" outlineLevel="0" collapsed="false">
      <c r="A40" s="5" t="s">
        <v>10</v>
      </c>
      <c r="B40" s="5"/>
      <c r="C40" s="5"/>
      <c r="D40" s="5"/>
      <c r="E40" s="5"/>
      <c r="F40" s="5"/>
      <c r="G40" s="5"/>
      <c r="H40" s="5"/>
      <c r="I40" s="5"/>
      <c r="J40" s="5"/>
    </row>
  </sheetData>
  <mergeCells count="3">
    <mergeCell ref="A1:J1"/>
    <mergeCell ref="A2:J2"/>
    <mergeCell ref="A40:J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4"/>
  </cols>
  <sheetData>
    <row r="1" customFormat="false" ht="27.75" hidden="false" customHeight="true" outlineLevel="0" collapsed="false">
      <c r="A1" s="1" t="s">
        <v>11</v>
      </c>
      <c r="B1" s="1"/>
      <c r="C1" s="1"/>
    </row>
    <row r="2" customFormat="false" ht="19.5" hidden="false" customHeight="true" outlineLevel="0" collapsed="false">
      <c r="A2" s="2" t="s">
        <v>12</v>
      </c>
      <c r="B2" s="2"/>
      <c r="C2" s="2"/>
    </row>
    <row r="4" customFormat="false" ht="15" hidden="false" customHeight="false" outlineLevel="0" collapsed="false">
      <c r="A4" s="6" t="s">
        <v>13</v>
      </c>
      <c r="B4" s="6" t="s">
        <v>14</v>
      </c>
      <c r="C4" s="6" t="s">
        <v>15</v>
      </c>
    </row>
    <row r="5" customFormat="false" ht="15" hidden="false" customHeight="false" outlineLevel="0" collapsed="false">
      <c r="A5" s="7" t="s">
        <v>16</v>
      </c>
      <c r="B5" s="8" t="n">
        <v>3.8</v>
      </c>
      <c r="C5" s="9" t="str">
        <f aca="false">IF(B5&lt;2.5,"Red",IF(B5&lt;4,"Amber","Green"))</f>
        <v>Amber</v>
      </c>
    </row>
    <row r="6" customFormat="false" ht="15" hidden="false" customHeight="false" outlineLevel="0" collapsed="false">
      <c r="A6" s="7" t="s">
        <v>17</v>
      </c>
      <c r="B6" s="8" t="n">
        <v>3.4</v>
      </c>
      <c r="C6" s="9" t="str">
        <f aca="false">IF(B6&lt;2.5,"Red",IF(B6&lt;4,"Amber","Green"))</f>
        <v>Amber</v>
      </c>
    </row>
    <row r="7" customFormat="false" ht="15" hidden="false" customHeight="false" outlineLevel="0" collapsed="false">
      <c r="A7" s="7" t="s">
        <v>18</v>
      </c>
      <c r="B7" s="8" t="n">
        <v>2.9</v>
      </c>
      <c r="C7" s="9" t="str">
        <f aca="false">IF(B7&lt;2.5,"Red",IF(B7&lt;4,"Amber","Green"))</f>
        <v>Amber</v>
      </c>
    </row>
    <row r="8" customFormat="false" ht="15" hidden="false" customHeight="false" outlineLevel="0" collapsed="false">
      <c r="A8" s="7" t="s">
        <v>19</v>
      </c>
      <c r="B8" s="8" t="n">
        <v>3.6</v>
      </c>
      <c r="C8" s="9" t="str">
        <f aca="false">IF(B8&lt;2.5,"Red",IF(B8&lt;4,"Amber","Green"))</f>
        <v>Amber</v>
      </c>
    </row>
    <row r="9" customFormat="false" ht="15" hidden="false" customHeight="false" outlineLevel="0" collapsed="false">
      <c r="A9" s="7" t="s">
        <v>20</v>
      </c>
      <c r="B9" s="8" t="n">
        <v>3.1</v>
      </c>
      <c r="C9" s="9" t="str">
        <f aca="false">IF(B9&lt;2.5,"Red",IF(B9&lt;4,"Amber","Green"))</f>
        <v>Amber</v>
      </c>
    </row>
    <row r="12" customFormat="false" ht="15" hidden="false" customHeight="false" outlineLevel="0" collapsed="false">
      <c r="A12" s="10" t="s">
        <v>21</v>
      </c>
    </row>
    <row r="13" customFormat="false" ht="15" hidden="false" customHeight="false" outlineLevel="0" collapsed="false">
      <c r="A13" s="6" t="s">
        <v>22</v>
      </c>
      <c r="B13" s="6" t="s">
        <v>23</v>
      </c>
    </row>
    <row r="14" customFormat="false" ht="15" hidden="false" customHeight="false" outlineLevel="0" collapsed="false">
      <c r="A14" s="7" t="s">
        <v>24</v>
      </c>
      <c r="B14" s="11" t="n">
        <v>210</v>
      </c>
    </row>
    <row r="15" customFormat="false" ht="15" hidden="false" customHeight="false" outlineLevel="0" collapsed="false">
      <c r="A15" s="7" t="s">
        <v>25</v>
      </c>
      <c r="B15" s="11" t="n">
        <v>225</v>
      </c>
    </row>
    <row r="16" customFormat="false" ht="15" hidden="false" customHeight="false" outlineLevel="0" collapsed="false">
      <c r="A16" s="7" t="s">
        <v>26</v>
      </c>
      <c r="B16" s="11" t="n">
        <v>260</v>
      </c>
    </row>
    <row r="17" customFormat="false" ht="15" hidden="false" customHeight="false" outlineLevel="0" collapsed="false">
      <c r="A17" s="7" t="s">
        <v>27</v>
      </c>
      <c r="B17" s="11" t="n">
        <v>240</v>
      </c>
    </row>
    <row r="18" customFormat="false" ht="15" hidden="false" customHeight="false" outlineLevel="0" collapsed="false">
      <c r="A18" s="7" t="s">
        <v>28</v>
      </c>
      <c r="B18" s="11" t="n">
        <v>275</v>
      </c>
    </row>
    <row r="19" customFormat="false" ht="15" hidden="false" customHeight="false" outlineLevel="0" collapsed="false">
      <c r="A19" s="7" t="s">
        <v>29</v>
      </c>
      <c r="B19" s="11" t="n">
        <v>300</v>
      </c>
    </row>
    <row r="29" customFormat="false" ht="15" hidden="false" customHeight="false" outlineLevel="0" collapsed="false">
      <c r="A29" s="10" t="s">
        <v>15</v>
      </c>
    </row>
    <row r="30" customFormat="false" ht="15" hidden="false" customHeight="false" outlineLevel="0" collapsed="false">
      <c r="A30" s="0" t="s">
        <v>30</v>
      </c>
      <c r="B30" s="0" t="n">
        <f aca="false">COUNTIF(C5:C9,"Green")</f>
        <v>0</v>
      </c>
    </row>
    <row r="31" customFormat="false" ht="15" hidden="false" customHeight="false" outlineLevel="0" collapsed="false">
      <c r="A31" s="0" t="s">
        <v>31</v>
      </c>
      <c r="B31" s="0" t="n">
        <f aca="false">COUNTIF(C5:C9,"Amber")</f>
        <v>5</v>
      </c>
    </row>
    <row r="32" customFormat="false" ht="15" hidden="false" customHeight="false" outlineLevel="0" collapsed="false">
      <c r="A32" s="0" t="s">
        <v>32</v>
      </c>
      <c r="B32" s="0" t="n">
        <f aca="false">COUNTIF(C5:C9,"Red")</f>
        <v>0</v>
      </c>
    </row>
  </sheetData>
  <mergeCells count="2">
    <mergeCell ref="A1:C1"/>
    <mergeCell ref="A2:C2"/>
  </mergeCells>
  <conditionalFormatting sqref="C5:C9">
    <cfRule type="expression" priority="2" aboveAverage="0" equalAverage="0" bottom="0" percent="0" rank="0" text="" dxfId="0">
      <formula>C5="Red"</formula>
    </cfRule>
    <cfRule type="expression" priority="3" aboveAverage="0" equalAverage="0" bottom="0" percent="0" rank="0" text="" dxfId="1">
      <formula>C5="Amber"</formula>
    </cfRule>
    <cfRule type="expression" priority="4" aboveAverage="0" equalAverage="0" bottom="0" percent="0" rank="0" text="" dxfId="2">
      <formula>C5="Green"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2026-08-05T20:59:21Z</dcterms:created>
  <dc:creator>openpyxl</dc:creator>
  <dc:description/>
  <dc:language>en-US</dc:language>
  <cp:lastModifiedBy/>
  <dcterms:modified xsi:type="dcterms:W3CDTF">2026-08-05T20:59:22Z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