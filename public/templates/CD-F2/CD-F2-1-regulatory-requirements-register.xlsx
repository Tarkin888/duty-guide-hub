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ummary Dashboard" sheetId="2" state="visible" r:id="rId4"/>
    <sheet name="Requirements Regist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<sst xmlns="http://schemas.openxmlformats.org/spreadsheetml/2006/main" count="111" uniqueCount="82">
  <si>
    <t xml:space="preserve">CD-F2 · Regulatory Requirements Register</t>
  </si>
  <si>
    <t xml:space="preserve">Consumer Duty Implementation — Foundation Phase</t>
  </si>
  <si>
    <t xml:space="preserve">Purpose</t>
  </si>
  <si>
    <t xml:space="preserve">This register captures every FCA Consumer Duty requirement the firm is subject to, drawn from PRIN 2A, the Consumer Duty rules in PRIN 2A.1–2A.9, and supporting FCA guidance (FG22/5). It is the single source of truth that the Requirements Traceability Matrix (CD-F2) maps against the firm's policies and controls.</t>
  </si>
  <si>
    <t xml:space="preserve">How to use this workbook</t>
  </si>
  <si>
    <t xml:space="preserve">1. Log every discrete requirement as its own row in the Requirements Register — keep each requirement atomic (one obligation per row) so it can be traced individually.
2. Record the FCA source reference precisely (e.g., PRIN 2A.4.7R) so requirements can be re-verified against the Handbook.
3. Select Compliance Status and Applicability from the drop-downs — RAG calculates automatically.
4. Review the Summary Dashboard tab for compliance coverage by outcome area.</t>
  </si>
  <si>
    <t xml:space="preserve">Compliance status definitions</t>
  </si>
  <si>
    <t xml:space="preserve">Compliant — Evidenced, consistently applied, and independently assured.
Partially Compliant — Some evidence exists but application is inconsistent or unassured.
Non-Compliant — No evidence of the requirement being met.
Not Yet Assessed — Requirement logged but not yet reviewed.</t>
  </si>
  <si>
    <t xml:space="preserve">CD-F2 · Requirements Register Summary</t>
  </si>
  <si>
    <t xml:space="preserve">Auto-calculates from the Requirements Register</t>
  </si>
  <si>
    <t xml:space="preserve">Outcome / Area</t>
  </si>
  <si>
    <t xml:space="preserve">Total Reqs</t>
  </si>
  <si>
    <t xml:space="preserve">Compliant</t>
  </si>
  <si>
    <t xml:space="preserve">Partially Compliant</t>
  </si>
  <si>
    <t xml:space="preserve">Non-Compliant</t>
  </si>
  <si>
    <t xml:space="preserve">Cross-Cutting Rules</t>
  </si>
  <si>
    <t xml:space="preserve">Products and Services</t>
  </si>
  <si>
    <t xml:space="preserve">Price and Value</t>
  </si>
  <si>
    <t xml:space="preserve">Consumer Understanding</t>
  </si>
  <si>
    <t xml:space="preserve">Consumer Support</t>
  </si>
  <si>
    <t xml:space="preserve">Governance and MI</t>
  </si>
  <si>
    <t xml:space="preserve">Total Requirements</t>
  </si>
  <si>
    <t xml:space="preserve">% Fully Compliant</t>
  </si>
  <si>
    <t xml:space="preserve">Every Non-Compliant or Partially Compliant requirement should have a corresponding entry in the Gap Analysis Framework (CD-F1) and the Requirements Traceability Matrix (CD-F2).</t>
  </si>
  <si>
    <t xml:space="preserve">One row per discrete FCA requirement — traced to policies and controls in the Traceability Matrix</t>
  </si>
  <si>
    <t xml:space="preserve">Ref</t>
  </si>
  <si>
    <t xml:space="preserve">FCA Source
Reference</t>
  </si>
  <si>
    <t xml:space="preserve">Requirement Description</t>
  </si>
  <si>
    <t xml:space="preserve">Applicability</t>
  </si>
  <si>
    <t xml:space="preserve">Compliance
Status</t>
  </si>
  <si>
    <t xml:space="preserve">Evidence Reference</t>
  </si>
  <si>
    <t xml:space="preserve">Owner</t>
  </si>
  <si>
    <t xml:space="preserve">Last
Reviewed</t>
  </si>
  <si>
    <t xml:space="preserve">RAG</t>
  </si>
  <si>
    <t xml:space="preserve">REQ-01</t>
  </si>
  <si>
    <t xml:space="preserve">PRIN 2A.2.1R</t>
  </si>
  <si>
    <t xml:space="preserve">The firm must act to deliver good outcomes for retail customers (the Consumer Duty).</t>
  </si>
  <si>
    <t xml:space="preserve">Firm-wide</t>
  </si>
  <si>
    <t xml:space="preserve">REQ-02</t>
  </si>
  <si>
    <t xml:space="preserve">PRIN 2A.2.9R</t>
  </si>
  <si>
    <t xml:space="preserve">The firm must act in good faith towards retail customers.</t>
  </si>
  <si>
    <t xml:space="preserve">REQ-03</t>
  </si>
  <si>
    <t xml:space="preserve">PRIN 2A.2.13R</t>
  </si>
  <si>
    <t xml:space="preserve">The firm must avoid causing foreseeable harm to retail customers.</t>
  </si>
  <si>
    <t xml:space="preserve">REQ-04</t>
  </si>
  <si>
    <t xml:space="preserve">PRIN 2A.2.17R</t>
  </si>
  <si>
    <t xml:space="preserve">The firm must enable and support retail customers to pursue their financial objectives.</t>
  </si>
  <si>
    <t xml:space="preserve">REQ-05</t>
  </si>
  <si>
    <t xml:space="preserve">PRIN 2A.3.6R</t>
  </si>
  <si>
    <t xml:space="preserve">Products and services must be designed to meet the needs, characteristics, and objectives of an identified target market.</t>
  </si>
  <si>
    <t xml:space="preserve">Manufacturer only</t>
  </si>
  <si>
    <t xml:space="preserve">REQ-06</t>
  </si>
  <si>
    <t xml:space="preserve">PRIN 2A.3.11R</t>
  </si>
  <si>
    <t xml:space="preserve">Distribution strategies must be appropriate to ensure products reach the intended target market.</t>
  </si>
  <si>
    <t xml:space="preserve">Distributor only</t>
  </si>
  <si>
    <t xml:space="preserve">REQ-07</t>
  </si>
  <si>
    <t xml:space="preserve">PRIN 2A.4.1R</t>
  </si>
  <si>
    <t xml:space="preserve">Products and services must provide fair value to retail customers.</t>
  </si>
  <si>
    <t xml:space="preserve">REQ-08</t>
  </si>
  <si>
    <t xml:space="preserve">PRIN 2A.4.14R</t>
  </si>
  <si>
    <t xml:space="preserve">Firms must assess whether the price a customer pays is reasonable relative to the benefits.</t>
  </si>
  <si>
    <t xml:space="preserve">REQ-09</t>
  </si>
  <si>
    <t xml:space="preserve">PRIN 2A.5.4R</t>
  </si>
  <si>
    <t xml:space="preserve">Communications must be designed to be understood by, and to meet the needs of, the intended recipients.</t>
  </si>
  <si>
    <t xml:space="preserve">REQ-10</t>
  </si>
  <si>
    <t xml:space="preserve">PRIN 2A.5.9R</t>
  </si>
  <si>
    <t xml:space="preserve">Firms must test communications to ensure they support customer understanding, where proportionate.</t>
  </si>
  <si>
    <t xml:space="preserve">REQ-11</t>
  </si>
  <si>
    <t xml:space="preserve">PRIN 2A.6.2R</t>
  </si>
  <si>
    <t xml:space="preserve">Support must be provided that meets retail customers' needs, including enabling them to act in their own interests.</t>
  </si>
  <si>
    <t xml:space="preserve">REQ-12</t>
  </si>
  <si>
    <t xml:space="preserve">PRIN 2A.6.8R</t>
  </si>
  <si>
    <t xml:space="preserve">Firms must ensure customers can switch, cancel, or complain as easily as they bought a product.</t>
  </si>
  <si>
    <t xml:space="preserve">REQ-13</t>
  </si>
  <si>
    <t xml:space="preserve">PRIN 2A.9.4R</t>
  </si>
  <si>
    <t xml:space="preserve">Firms must monitor and regularly review outcomes their retail customers are experiencing.</t>
  </si>
  <si>
    <t xml:space="preserve">REQ-14</t>
  </si>
  <si>
    <t xml:space="preserve">PRIN 2A.9.11R</t>
  </si>
  <si>
    <t xml:space="preserve">The Board (or equivalent) must review and approve an annual Consumer Duty report.</t>
  </si>
  <si>
    <t xml:space="preserve">REQ-15</t>
  </si>
  <si>
    <t xml:space="preserve">FG22/5 Ch.3</t>
  </si>
  <si>
    <t xml:space="preserve">Firms should identify and record the needs of customers with characteristics of vulnerability.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</si>
</sst>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dd/mm/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59595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63BE7B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869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84"/>
      <rgbColor rgb="FF99CCFF"/>
      <rgbColor rgb="FFFF99CC"/>
      <rgbColor rgb="FFCC99FF"/>
      <rgbColor rgb="FFFFCC99"/>
      <rgbColor rgb="FF3366FF"/>
      <rgbColor rgb="FF63BE7B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1" customFormat="false" ht="27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/>
    </row>
    <row r="5" customFormat="false" ht="18" hidden="false" customHeight="true" outlineLevel="0" collapsed="false">
      <c r="A5" s="4" t="s">
        <v>3</v>
      </c>
      <c r="B5" s="4"/>
    </row>
    <row r="7" customFormat="false" ht="15" hidden="false" customHeight="false" outlineLevel="0" collapsed="false">
      <c r="A7" s="3" t="s">
        <v>4</v>
      </c>
      <c r="B7" s="3"/>
    </row>
    <row r="8" customFormat="false" ht="55.5" hidden="false" customHeight="true" outlineLevel="0" collapsed="false">
      <c r="A8" s="4" t="s">
        <v>5</v>
      </c>
      <c r="B8" s="4"/>
    </row>
    <row r="10" customFormat="false" ht="15" hidden="false" customHeight="false" outlineLevel="0" collapsed="false">
      <c r="A10" s="3" t="s">
        <v>6</v>
      </c>
      <c r="B10" s="3"/>
    </row>
    <row r="11" customFormat="false" ht="55.5" hidden="false" customHeight="true" outlineLevel="0" collapsed="false">
      <c r="A11" s="4" t="s">
        <v>7</v>
      </c>
      <c r="B11" s="4"/>
    </row>
  </sheetData>
  <mergeCells count="8">
    <mergeCell ref="A1:B1"/>
    <mergeCell ref="A2:B2"/>
    <mergeCell ref="A4:B4"/>
    <mergeCell ref="A5:B5"/>
    <mergeCell ref="A7:B7"/>
    <mergeCell ref="A8:B8"/>
    <mergeCell ref="A10:B10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4"/>
  </cols>
  <sheetData>
    <row r="1" customFormat="false" ht="27.75" hidden="false" customHeight="true" outlineLevel="0" collapsed="false">
      <c r="A1" s="1" t="s">
        <v>8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9</v>
      </c>
      <c r="B2" s="2"/>
      <c r="C2" s="2"/>
      <c r="D2" s="2"/>
      <c r="E2" s="2"/>
    </row>
    <row r="4" customFormat="false" ht="23.85" hidden="false" customHeight="false" outlineLevel="0" collapsed="false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</row>
    <row r="5" customFormat="false" ht="15" hidden="false" customHeight="false" outlineLevel="0" collapsed="false">
      <c r="A5" s="6" t="s">
        <v>15</v>
      </c>
      <c r="B5" s="7" t="n">
        <f aca="false">COUNTIF('Requirements Register'!D5:D19,A5)</f>
        <v>4</v>
      </c>
      <c r="C5" s="7" t="n">
        <f aca="false">COUNTIFS('Requirements Register'!D5:D19,A5,'Requirements Register'!F5:F19,"Compliant")</f>
        <v>0</v>
      </c>
      <c r="D5" s="7" t="n">
        <f aca="false">COUNTIFS('Requirements Register'!D5:D19,A5,'Requirements Register'!F5:F19,"Partially Compliant")</f>
        <v>0</v>
      </c>
      <c r="E5" s="7" t="n">
        <f aca="false">COUNTIFS('Requirements Register'!D5:D19,A5,'Requirements Register'!F5:F19,"Non-Compliant")</f>
        <v>0</v>
      </c>
    </row>
    <row r="6" customFormat="false" ht="15" hidden="false" customHeight="false" outlineLevel="0" collapsed="false">
      <c r="A6" s="6" t="s">
        <v>16</v>
      </c>
      <c r="B6" s="7" t="n">
        <f aca="false">COUNTIF('Requirements Register'!D5:D19,A6)</f>
        <v>2</v>
      </c>
      <c r="C6" s="7" t="n">
        <f aca="false">COUNTIFS('Requirements Register'!D5:D19,A6,'Requirements Register'!F5:F19,"Compliant")</f>
        <v>0</v>
      </c>
      <c r="D6" s="7" t="n">
        <f aca="false">COUNTIFS('Requirements Register'!D5:D19,A6,'Requirements Register'!F5:F19,"Partially Compliant")</f>
        <v>0</v>
      </c>
      <c r="E6" s="7" t="n">
        <f aca="false">COUNTIFS('Requirements Register'!D5:D19,A6,'Requirements Register'!F5:F19,"Non-Compliant")</f>
        <v>0</v>
      </c>
    </row>
    <row r="7" customFormat="false" ht="15" hidden="false" customHeight="false" outlineLevel="0" collapsed="false">
      <c r="A7" s="6" t="s">
        <v>17</v>
      </c>
      <c r="B7" s="7" t="n">
        <f aca="false">COUNTIF('Requirements Register'!D5:D19,A7)</f>
        <v>2</v>
      </c>
      <c r="C7" s="7" t="n">
        <f aca="false">COUNTIFS('Requirements Register'!D5:D19,A7,'Requirements Register'!F5:F19,"Compliant")</f>
        <v>0</v>
      </c>
      <c r="D7" s="7" t="n">
        <f aca="false">COUNTIFS('Requirements Register'!D5:D19,A7,'Requirements Register'!F5:F19,"Partially Compliant")</f>
        <v>0</v>
      </c>
      <c r="E7" s="7" t="n">
        <f aca="false">COUNTIFS('Requirements Register'!D5:D19,A7,'Requirements Register'!F5:F19,"Non-Compliant")</f>
        <v>0</v>
      </c>
    </row>
    <row r="8" customFormat="false" ht="15" hidden="false" customHeight="false" outlineLevel="0" collapsed="false">
      <c r="A8" s="6" t="s">
        <v>18</v>
      </c>
      <c r="B8" s="7" t="n">
        <f aca="false">COUNTIF('Requirements Register'!D5:D19,A8)</f>
        <v>2</v>
      </c>
      <c r="C8" s="7" t="n">
        <f aca="false">COUNTIFS('Requirements Register'!D5:D19,A8,'Requirements Register'!F5:F19,"Compliant")</f>
        <v>0</v>
      </c>
      <c r="D8" s="7" t="n">
        <f aca="false">COUNTIFS('Requirements Register'!D5:D19,A8,'Requirements Register'!F5:F19,"Partially Compliant")</f>
        <v>0</v>
      </c>
      <c r="E8" s="7" t="n">
        <f aca="false">COUNTIFS('Requirements Register'!D5:D19,A8,'Requirements Register'!F5:F19,"Non-Compliant")</f>
        <v>0</v>
      </c>
    </row>
    <row r="9" customFormat="false" ht="15" hidden="false" customHeight="false" outlineLevel="0" collapsed="false">
      <c r="A9" s="6" t="s">
        <v>19</v>
      </c>
      <c r="B9" s="7" t="n">
        <f aca="false">COUNTIF('Requirements Register'!D5:D19,A9)</f>
        <v>3</v>
      </c>
      <c r="C9" s="7" t="n">
        <f aca="false">COUNTIFS('Requirements Register'!D5:D19,A9,'Requirements Register'!F5:F19,"Compliant")</f>
        <v>0</v>
      </c>
      <c r="D9" s="7" t="n">
        <f aca="false">COUNTIFS('Requirements Register'!D5:D19,A9,'Requirements Register'!F5:F19,"Partially Compliant")</f>
        <v>0</v>
      </c>
      <c r="E9" s="7" t="n">
        <f aca="false">COUNTIFS('Requirements Register'!D5:D19,A9,'Requirements Register'!F5:F19,"Non-Compliant")</f>
        <v>0</v>
      </c>
    </row>
    <row r="10" customFormat="false" ht="15" hidden="false" customHeight="false" outlineLevel="0" collapsed="false">
      <c r="A10" s="6" t="s">
        <v>20</v>
      </c>
      <c r="B10" s="7" t="n">
        <f aca="false">COUNTIF('Requirements Register'!D5:D19,A10)</f>
        <v>2</v>
      </c>
      <c r="C10" s="7" t="n">
        <f aca="false">COUNTIFS('Requirements Register'!D5:D19,A10,'Requirements Register'!F5:F19,"Compliant")</f>
        <v>0</v>
      </c>
      <c r="D10" s="7" t="n">
        <f aca="false">COUNTIFS('Requirements Register'!D5:D19,A10,'Requirements Register'!F5:F19,"Partially Compliant")</f>
        <v>0</v>
      </c>
      <c r="E10" s="7" t="n">
        <f aca="false">COUNTIFS('Requirements Register'!D5:D19,A10,'Requirements Register'!F5:F19,"Non-Compliant")</f>
        <v>0</v>
      </c>
    </row>
    <row r="12" customFormat="false" ht="15" hidden="false" customHeight="false" outlineLevel="0" collapsed="false">
      <c r="A12" s="8" t="s">
        <v>21</v>
      </c>
      <c r="B12" s="9" t="n">
        <f aca="false">COUNTA('Requirements Register'!A5:A19)</f>
        <v>15</v>
      </c>
    </row>
    <row r="13" customFormat="false" ht="15" hidden="false" customHeight="false" outlineLevel="0" collapsed="false">
      <c r="A13" s="8" t="s">
        <v>22</v>
      </c>
      <c r="B13" s="10" t="n">
        <f aca="false">IFERROR(COUNTIF('Requirements Register'!F5:F19,"Compliant")/COUNTA('Requirements Register'!A5:A19),0)</f>
        <v>0</v>
      </c>
    </row>
    <row r="15" customFormat="false" ht="15" hidden="false" customHeight="false" outlineLevel="0" collapsed="false">
      <c r="A15" s="11" t="s">
        <v>23</v>
      </c>
      <c r="B15" s="11"/>
      <c r="C15" s="11"/>
      <c r="D15" s="11"/>
      <c r="E15" s="11"/>
    </row>
  </sheetData>
  <mergeCells count="3">
    <mergeCell ref="A1:E1"/>
    <mergeCell ref="A2:E2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6"/>
    <col collapsed="false" customWidth="true" hidden="false" outlineLevel="0" max="9" min="8" style="0" width="14"/>
    <col collapsed="false" customWidth="true" hidden="false" outlineLevel="0" max="10" min="10" style="0" width="1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24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5" t="s">
        <v>25</v>
      </c>
      <c r="B4" s="5" t="s">
        <v>26</v>
      </c>
      <c r="C4" s="5" t="s">
        <v>27</v>
      </c>
      <c r="D4" s="5" t="s">
        <v>10</v>
      </c>
      <c r="E4" s="5" t="s">
        <v>28</v>
      </c>
      <c r="F4" s="5" t="s">
        <v>29</v>
      </c>
      <c r="G4" s="5" t="s">
        <v>30</v>
      </c>
      <c r="H4" s="5" t="s">
        <v>31</v>
      </c>
      <c r="I4" s="5" t="s">
        <v>32</v>
      </c>
      <c r="J4" s="5" t="s">
        <v>33</v>
      </c>
    </row>
    <row r="5" customFormat="false" ht="33.75" hidden="false" customHeight="true" outlineLevel="0" collapsed="false">
      <c r="A5" s="12" t="s">
        <v>34</v>
      </c>
      <c r="B5" s="13" t="s">
        <v>35</v>
      </c>
      <c r="C5" s="14" t="s">
        <v>36</v>
      </c>
      <c r="D5" s="15" t="s">
        <v>15</v>
      </c>
      <c r="E5" s="12" t="s">
        <v>37</v>
      </c>
      <c r="F5" s="16"/>
      <c r="G5" s="14"/>
      <c r="H5" s="15"/>
      <c r="I5" s="17"/>
      <c r="J5" s="18" t="str">
        <f aca="false">IF(F5="","",IF(F5="Compliant","Green",IF(F5="Partially Compliant","Amber",IF(F5="Non-Compliant","Red","Grey"))))</f>
        <v/>
      </c>
    </row>
    <row r="6" customFormat="false" ht="33.75" hidden="false" customHeight="true" outlineLevel="0" collapsed="false">
      <c r="A6" s="19" t="s">
        <v>38</v>
      </c>
      <c r="B6" s="20" t="s">
        <v>39</v>
      </c>
      <c r="C6" s="21" t="s">
        <v>40</v>
      </c>
      <c r="D6" s="22" t="s">
        <v>15</v>
      </c>
      <c r="E6" s="19" t="s">
        <v>37</v>
      </c>
      <c r="F6" s="23"/>
      <c r="G6" s="21"/>
      <c r="H6" s="22"/>
      <c r="I6" s="24"/>
      <c r="J6" s="25" t="str">
        <f aca="false">IF(F6="","",IF(F6="Compliant","Green",IF(F6="Partially Compliant","Amber",IF(F6="Non-Compliant","Red","Grey"))))</f>
        <v/>
      </c>
    </row>
    <row r="7" customFormat="false" ht="33.75" hidden="false" customHeight="true" outlineLevel="0" collapsed="false">
      <c r="A7" s="12" t="s">
        <v>41</v>
      </c>
      <c r="B7" s="13" t="s">
        <v>42</v>
      </c>
      <c r="C7" s="14" t="s">
        <v>43</v>
      </c>
      <c r="D7" s="15" t="s">
        <v>15</v>
      </c>
      <c r="E7" s="12" t="s">
        <v>37</v>
      </c>
      <c r="F7" s="16"/>
      <c r="G7" s="14"/>
      <c r="H7" s="15"/>
      <c r="I7" s="17"/>
      <c r="J7" s="18" t="str">
        <f aca="false">IF(F7="","",IF(F7="Compliant","Green",IF(F7="Partially Compliant","Amber",IF(F7="Non-Compliant","Red","Grey"))))</f>
        <v/>
      </c>
    </row>
    <row r="8" customFormat="false" ht="33.75" hidden="false" customHeight="true" outlineLevel="0" collapsed="false">
      <c r="A8" s="19" t="s">
        <v>44</v>
      </c>
      <c r="B8" s="20" t="s">
        <v>45</v>
      </c>
      <c r="C8" s="21" t="s">
        <v>46</v>
      </c>
      <c r="D8" s="22" t="s">
        <v>15</v>
      </c>
      <c r="E8" s="19" t="s">
        <v>37</v>
      </c>
      <c r="F8" s="23"/>
      <c r="G8" s="21"/>
      <c r="H8" s="22"/>
      <c r="I8" s="24"/>
      <c r="J8" s="25" t="str">
        <f aca="false">IF(F8="","",IF(F8="Compliant","Green",IF(F8="Partially Compliant","Amber",IF(F8="Non-Compliant","Red","Grey"))))</f>
        <v/>
      </c>
    </row>
    <row r="9" customFormat="false" ht="33.75" hidden="false" customHeight="true" outlineLevel="0" collapsed="false">
      <c r="A9" s="12" t="s">
        <v>47</v>
      </c>
      <c r="B9" s="13" t="s">
        <v>48</v>
      </c>
      <c r="C9" s="14" t="s">
        <v>49</v>
      </c>
      <c r="D9" s="15" t="s">
        <v>16</v>
      </c>
      <c r="E9" s="12" t="s">
        <v>50</v>
      </c>
      <c r="F9" s="16"/>
      <c r="G9" s="14"/>
      <c r="H9" s="15"/>
      <c r="I9" s="17"/>
      <c r="J9" s="18" t="str">
        <f aca="false">IF(F9="","",IF(F9="Compliant","Green",IF(F9="Partially Compliant","Amber",IF(F9="Non-Compliant","Red","Grey"))))</f>
        <v/>
      </c>
    </row>
    <row r="10" customFormat="false" ht="33.75" hidden="false" customHeight="true" outlineLevel="0" collapsed="false">
      <c r="A10" s="19" t="s">
        <v>51</v>
      </c>
      <c r="B10" s="20" t="s">
        <v>52</v>
      </c>
      <c r="C10" s="21" t="s">
        <v>53</v>
      </c>
      <c r="D10" s="22" t="s">
        <v>16</v>
      </c>
      <c r="E10" s="19" t="s">
        <v>54</v>
      </c>
      <c r="F10" s="23"/>
      <c r="G10" s="21"/>
      <c r="H10" s="22"/>
      <c r="I10" s="24"/>
      <c r="J10" s="25" t="str">
        <f aca="false">IF(F10="","",IF(F10="Compliant","Green",IF(F10="Partially Compliant","Amber",IF(F10="Non-Compliant","Red","Grey"))))</f>
        <v/>
      </c>
    </row>
    <row r="11" customFormat="false" ht="33.75" hidden="false" customHeight="true" outlineLevel="0" collapsed="false">
      <c r="A11" s="12" t="s">
        <v>55</v>
      </c>
      <c r="B11" s="13" t="s">
        <v>56</v>
      </c>
      <c r="C11" s="14" t="s">
        <v>57</v>
      </c>
      <c r="D11" s="15" t="s">
        <v>17</v>
      </c>
      <c r="E11" s="12" t="s">
        <v>50</v>
      </c>
      <c r="F11" s="16"/>
      <c r="G11" s="14"/>
      <c r="H11" s="15"/>
      <c r="I11" s="17"/>
      <c r="J11" s="18" t="str">
        <f aca="false">IF(F11="","",IF(F11="Compliant","Green",IF(F11="Partially Compliant","Amber",IF(F11="Non-Compliant","Red","Grey"))))</f>
        <v/>
      </c>
    </row>
    <row r="12" customFormat="false" ht="33.75" hidden="false" customHeight="true" outlineLevel="0" collapsed="false">
      <c r="A12" s="19" t="s">
        <v>58</v>
      </c>
      <c r="B12" s="20" t="s">
        <v>59</v>
      </c>
      <c r="C12" s="21" t="s">
        <v>60</v>
      </c>
      <c r="D12" s="22" t="s">
        <v>17</v>
      </c>
      <c r="E12" s="19" t="s">
        <v>50</v>
      </c>
      <c r="F12" s="23"/>
      <c r="G12" s="21"/>
      <c r="H12" s="22"/>
      <c r="I12" s="24"/>
      <c r="J12" s="25" t="str">
        <f aca="false">IF(F12="","",IF(F12="Compliant","Green",IF(F12="Partially Compliant","Amber",IF(F12="Non-Compliant","Red","Grey"))))</f>
        <v/>
      </c>
    </row>
    <row r="13" customFormat="false" ht="33.75" hidden="false" customHeight="true" outlineLevel="0" collapsed="false">
      <c r="A13" s="12" t="s">
        <v>61</v>
      </c>
      <c r="B13" s="13" t="s">
        <v>62</v>
      </c>
      <c r="C13" s="14" t="s">
        <v>63</v>
      </c>
      <c r="D13" s="15" t="s">
        <v>18</v>
      </c>
      <c r="E13" s="12" t="s">
        <v>37</v>
      </c>
      <c r="F13" s="16"/>
      <c r="G13" s="14"/>
      <c r="H13" s="15"/>
      <c r="I13" s="17"/>
      <c r="J13" s="18" t="str">
        <f aca="false">IF(F13="","",IF(F13="Compliant","Green",IF(F13="Partially Compliant","Amber",IF(F13="Non-Compliant","Red","Grey"))))</f>
        <v/>
      </c>
    </row>
    <row r="14" customFormat="false" ht="33.75" hidden="false" customHeight="true" outlineLevel="0" collapsed="false">
      <c r="A14" s="19" t="s">
        <v>64</v>
      </c>
      <c r="B14" s="20" t="s">
        <v>65</v>
      </c>
      <c r="C14" s="21" t="s">
        <v>66</v>
      </c>
      <c r="D14" s="22" t="s">
        <v>18</v>
      </c>
      <c r="E14" s="19" t="s">
        <v>37</v>
      </c>
      <c r="F14" s="23"/>
      <c r="G14" s="21"/>
      <c r="H14" s="22"/>
      <c r="I14" s="24"/>
      <c r="J14" s="25" t="str">
        <f aca="false">IF(F14="","",IF(F14="Compliant","Green",IF(F14="Partially Compliant","Amber",IF(F14="Non-Compliant","Red","Grey"))))</f>
        <v/>
      </c>
    </row>
    <row r="15" customFormat="false" ht="33.75" hidden="false" customHeight="true" outlineLevel="0" collapsed="false">
      <c r="A15" s="12" t="s">
        <v>67</v>
      </c>
      <c r="B15" s="13" t="s">
        <v>68</v>
      </c>
      <c r="C15" s="14" t="s">
        <v>69</v>
      </c>
      <c r="D15" s="15" t="s">
        <v>19</v>
      </c>
      <c r="E15" s="12" t="s">
        <v>37</v>
      </c>
      <c r="F15" s="16"/>
      <c r="G15" s="14"/>
      <c r="H15" s="15"/>
      <c r="I15" s="17"/>
      <c r="J15" s="18" t="str">
        <f aca="false">IF(F15="","",IF(F15="Compliant","Green",IF(F15="Partially Compliant","Amber",IF(F15="Non-Compliant","Red","Grey"))))</f>
        <v/>
      </c>
    </row>
    <row r="16" customFormat="false" ht="33.75" hidden="false" customHeight="true" outlineLevel="0" collapsed="false">
      <c r="A16" s="19" t="s">
        <v>70</v>
      </c>
      <c r="B16" s="20" t="s">
        <v>71</v>
      </c>
      <c r="C16" s="21" t="s">
        <v>72</v>
      </c>
      <c r="D16" s="22" t="s">
        <v>19</v>
      </c>
      <c r="E16" s="19" t="s">
        <v>37</v>
      </c>
      <c r="F16" s="23"/>
      <c r="G16" s="21"/>
      <c r="H16" s="22"/>
      <c r="I16" s="24"/>
      <c r="J16" s="25" t="str">
        <f aca="false">IF(F16="","",IF(F16="Compliant","Green",IF(F16="Partially Compliant","Amber",IF(F16="Non-Compliant","Red","Grey"))))</f>
        <v/>
      </c>
    </row>
    <row r="17" customFormat="false" ht="33.75" hidden="false" customHeight="true" outlineLevel="0" collapsed="false">
      <c r="A17" s="12" t="s">
        <v>73</v>
      </c>
      <c r="B17" s="13" t="s">
        <v>74</v>
      </c>
      <c r="C17" s="14" t="s">
        <v>75</v>
      </c>
      <c r="D17" s="15" t="s">
        <v>20</v>
      </c>
      <c r="E17" s="12" t="s">
        <v>37</v>
      </c>
      <c r="F17" s="16"/>
      <c r="G17" s="14"/>
      <c r="H17" s="15"/>
      <c r="I17" s="17"/>
      <c r="J17" s="18" t="str">
        <f aca="false">IF(F17="","",IF(F17="Compliant","Green",IF(F17="Partially Compliant","Amber",IF(F17="Non-Compliant","Red","Grey"))))</f>
        <v/>
      </c>
    </row>
    <row r="18" customFormat="false" ht="33.75" hidden="false" customHeight="true" outlineLevel="0" collapsed="false">
      <c r="A18" s="19" t="s">
        <v>76</v>
      </c>
      <c r="B18" s="20" t="s">
        <v>77</v>
      </c>
      <c r="C18" s="21" t="s">
        <v>78</v>
      </c>
      <c r="D18" s="22" t="s">
        <v>20</v>
      </c>
      <c r="E18" s="19" t="s">
        <v>37</v>
      </c>
      <c r="F18" s="23"/>
      <c r="G18" s="21"/>
      <c r="H18" s="22"/>
      <c r="I18" s="24"/>
      <c r="J18" s="25" t="str">
        <f aca="false">IF(F18="","",IF(F18="Compliant","Green",IF(F18="Partially Compliant","Amber",IF(F18="Non-Compliant","Red","Grey"))))</f>
        <v/>
      </c>
    </row>
    <row r="19" customFormat="false" ht="33.75" hidden="false" customHeight="true" outlineLevel="0" collapsed="false">
      <c r="A19" s="12" t="s">
        <v>79</v>
      </c>
      <c r="B19" s="13" t="s">
        <v>80</v>
      </c>
      <c r="C19" s="14" t="s">
        <v>81</v>
      </c>
      <c r="D19" s="15" t="s">
        <v>19</v>
      </c>
      <c r="E19" s="12" t="s">
        <v>37</v>
      </c>
      <c r="F19" s="16"/>
      <c r="G19" s="14"/>
      <c r="H19" s="15"/>
      <c r="I19" s="17"/>
      <c r="J19" s="18" t="str">
        <f aca="false">IF(F19="","",IF(F19="Compliant","Green",IF(F19="Partially Compliant","Amber",IF(F19="Non-Compliant","Red","Grey"))))</f>
        <v/>
      </c>
    </row>
  </sheetData>
  <mergeCells count="2">
    <mergeCell ref="A1:J1"/>
    <mergeCell ref="A2:J2"/>
  </mergeCells>
  <conditionalFormatting sqref="J5:J19">
    <cfRule type="expression" priority="2" aboveAverage="0" equalAverage="0" bottom="0" percent="0" rank="0" text="" dxfId="0">
      <formula>J5="Red"</formula>
    </cfRule>
    <cfRule type="expression" priority="3" aboveAverage="0" equalAverage="0" bottom="0" percent="0" rank="0" text="" dxfId="1">
      <formula>J5="Amber"</formula>
    </cfRule>
    <cfRule type="expression" priority="4" aboveAverage="0" equalAverage="0" bottom="0" percent="0" rank="0" text="" dxfId="2">
      <formula>J5="Green"</formula>
    </cfRule>
    <cfRule type="expression" priority="5" aboveAverage="0" equalAverage="0" bottom="0" percent="0" rank="0" text="" dxfId="3">
      <formula>J5="Grey"</formula>
    </cfRule>
  </conditionalFormatting>
  <dataValidations count="3">
    <dataValidation allowBlank="true" errorStyle="stop" operator="between" showDropDown="false" showErrorMessage="false" showInputMessage="false" sqref="D5:D19" type="list">
      <formula1>"Cross-Cutting Rules,Products and Services,Price and Value,Consumer Understanding,Consumer Support,Governance and MI"</formula1>
      <formula2>0</formula2>
    </dataValidation>
    <dataValidation allowBlank="true" errorStyle="stop" operator="between" showDropDown="false" showErrorMessage="false" showInputMessage="false" sqref="E5:E19" type="list">
      <formula1>"Firm-wide,Manufacturer only,Distributor only,Product-specific,Not Applicable"</formula1>
      <formula2>0</formula2>
    </dataValidation>
    <dataValidation allowBlank="true" errorStyle="stop" operator="between" showDropDown="false" showErrorMessage="false" showInputMessage="false" sqref="F5:F19" type="list">
      <formula1>"Compliant,Partially Compliant,Non-Compliant,Not Yet Assessed"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2026-08-05T15:37:37Z</dcterms:created>
  <dc:creator>openpyxl</dc:creator>
  <dc:description/>
  <dc:language>en-US</dc:language>
  <cp:lastModifiedBy/>
  <dcterms:modified xsi:type="dcterms:W3CDTF">2026-08-05T15:37:37Z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