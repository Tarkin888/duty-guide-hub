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 Dashboard" sheetId="2" state="visible" r:id="rId4"/>
    <sheet name="Traceability Matri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<sst xmlns="http://schemas.openxmlformats.org/spreadsheetml/2006/main" count="144" uniqueCount="119">
  <si>
    <t xml:space="preserve">CD-F2 · Requirements Traceability Matrix</t>
  </si>
  <si>
    <t xml:space="preserve">Consumer Duty Implementation — Foundation Phase</t>
  </si>
  <si>
    <t xml:space="preserve">Purpose</t>
  </si>
  <si>
    <t xml:space="preserve">This matrix traces each requirement in the Regulatory Requirements Register (CD-F2) through to the specific policy, procedure, control, and evidence that demonstrates compliance — creating a defensible, auditable chain from FCA rule to firm evidence.</t>
  </si>
  <si>
    <t xml:space="preserve">How to use this workbook</t>
  </si>
  <si>
    <t xml:space="preserve">1. Enter the Requirement Ref exactly as it appears in the Requirements Register so the Requirement Summary pulls through automatically.
2. Record the specific Policy/Procedure and Control reference that addresses the requirement.
3. Record where the evidence is held (document management system, MI pack, etc.).
4. Select a Coverage Status — Full, Partial, or None — for each requirement; this drives the RAG rating.
5. Where coverage is Partial or None, add the linked Gap Ref from the Gap Analysis Framework (CD-F1).</t>
  </si>
  <si>
    <t xml:space="preserve">Coverage status definitions</t>
  </si>
  <si>
    <t xml:space="preserve">Full — A named policy, procedure, and control fully addresses the requirement, with evidence available.
Partial — Some elements are addressed but coverage is incomplete or evidence is weak.
None — No policy, procedure, or control currently addresses the requirement.</t>
  </si>
  <si>
    <t xml:space="preserve">CD-F2 · Traceability Coverage Summary</t>
  </si>
  <si>
    <t xml:space="preserve">Auto-calculates from the Traceability Matrix</t>
  </si>
  <si>
    <t xml:space="preserve">Coverage Status</t>
  </si>
  <si>
    <t xml:space="preserve">Count</t>
  </si>
  <si>
    <t xml:space="preserve">% of Total</t>
  </si>
  <si>
    <t xml:space="preserve">Full</t>
  </si>
  <si>
    <t xml:space="preserve">Partial</t>
  </si>
  <si>
    <t xml:space="preserve">None</t>
  </si>
  <si>
    <t xml:space="preserve">Total Requirements Traced</t>
  </si>
  <si>
    <t xml:space="preserve">Requirements with Linked Gaps</t>
  </si>
  <si>
    <t xml:space="preserve">Any requirement with Partial or None coverage must have a corresponding entry in the Gap Analysis Framework (CD-F1).</t>
  </si>
  <si>
    <t xml:space="preserve">Traces each requirement to the policy, control, and evidence that demonstrates compliance</t>
  </si>
  <si>
    <t xml:space="preserve">Ref</t>
  </si>
  <si>
    <t xml:space="preserve">Requirement
Ref</t>
  </si>
  <si>
    <t xml:space="preserve">Requirement Summary</t>
  </si>
  <si>
    <t xml:space="preserve">Policy / Procedure
Reference</t>
  </si>
  <si>
    <t xml:space="preserve">Control Reference</t>
  </si>
  <si>
    <t xml:space="preserve">Evidence Location</t>
  </si>
  <si>
    <t xml:space="preserve">Coverage
Status</t>
  </si>
  <si>
    <t xml:space="preserve">Linked Gap
Ref</t>
  </si>
  <si>
    <t xml:space="preserve">RAG</t>
  </si>
  <si>
    <t xml:space="preserve">TRACE-01</t>
  </si>
  <si>
    <t xml:space="preserve">REQ-01</t>
  </si>
  <si>
    <t xml:space="preserve">The firm must act to deliver good outcomes for retail customers.</t>
  </si>
  <si>
    <t xml:space="preserve">Consumer Duty Policy v2.0</t>
  </si>
  <si>
    <t xml:space="preserve">CD-CTRL-01 Outcomes Monitoring</t>
  </si>
  <si>
    <t xml:space="preserve">Compliance SharePoint / CD Policy Library</t>
  </si>
  <si>
    <t xml:space="preserve">TRACE-02</t>
  </si>
  <si>
    <t xml:space="preserve">REQ-02</t>
  </si>
  <si>
    <t xml:space="preserve">The firm must act in good faith towards retail customers.</t>
  </si>
  <si>
    <t xml:space="preserve">CD-CTRL-02 Good Faith Checklist</t>
  </si>
  <si>
    <t xml:space="preserve">Compliance SharePoint</t>
  </si>
  <si>
    <t xml:space="preserve">TRACE-03</t>
  </si>
  <si>
    <t xml:space="preserve">REQ-03</t>
  </si>
  <si>
    <t xml:space="preserve">The firm must avoid causing foreseeable harm to retail customers.</t>
  </si>
  <si>
    <t xml:space="preserve">Product Governance Policy v3.1</t>
  </si>
  <si>
    <t xml:space="preserve">CD-CTRL-03 Harm Assessment</t>
  </si>
  <si>
    <t xml:space="preserve">Product Governance Log</t>
  </si>
  <si>
    <t xml:space="preserve">CD-GAP-04</t>
  </si>
  <si>
    <t xml:space="preserve">TRACE-04</t>
  </si>
  <si>
    <t xml:space="preserve">REQ-04</t>
  </si>
  <si>
    <t xml:space="preserve">The firm must enable and support customers to pursue their financial objectives.</t>
  </si>
  <si>
    <t xml:space="preserve">Not yet documented</t>
  </si>
  <si>
    <t xml:space="preserve">None identified</t>
  </si>
  <si>
    <t xml:space="preserve">N/A</t>
  </si>
  <si>
    <t xml:space="preserve">CD-GAP-05</t>
  </si>
  <si>
    <t xml:space="preserve">TRACE-05</t>
  </si>
  <si>
    <t xml:space="preserve">REQ-05</t>
  </si>
  <si>
    <t xml:space="preserve">Products must be designed to meet the needs of an identified target market.</t>
  </si>
  <si>
    <t xml:space="preserve">Product Approval Policy v1.4</t>
  </si>
  <si>
    <t xml:space="preserve">CD-CTRL-05 Target Market Definition</t>
  </si>
  <si>
    <t xml:space="preserve">Product Approval Records</t>
  </si>
  <si>
    <t xml:space="preserve">TRACE-06</t>
  </si>
  <si>
    <t xml:space="preserve">REQ-06</t>
  </si>
  <si>
    <t xml:space="preserve">Distribution strategies must ensure products reach the intended target market.</t>
  </si>
  <si>
    <t xml:space="preserve">Distribution Strategy Policy v1.0</t>
  </si>
  <si>
    <t xml:space="preserve">CD-CTRL-06 Distribution Review</t>
  </si>
  <si>
    <t xml:space="preserve">Distribution Governance Log</t>
  </si>
  <si>
    <t xml:space="preserve">CD-GAP-07</t>
  </si>
  <si>
    <t xml:space="preserve">TRACE-07</t>
  </si>
  <si>
    <t xml:space="preserve">REQ-07</t>
  </si>
  <si>
    <t xml:space="preserve">Products and services must provide fair value to retail customers.</t>
  </si>
  <si>
    <t xml:space="preserve">Fair Value Assessment Policy v1.2</t>
  </si>
  <si>
    <t xml:space="preserve">CD-CTRL-07 FVA Framework</t>
  </si>
  <si>
    <t xml:space="preserve">FVA Central Repository</t>
  </si>
  <si>
    <t xml:space="preserve">CD-GAP-01</t>
  </si>
  <si>
    <t xml:space="preserve">TRACE-08</t>
  </si>
  <si>
    <t xml:space="preserve">REQ-08</t>
  </si>
  <si>
    <t xml:space="preserve">Firms must assess whether the price paid is reasonable relative to benefits.</t>
  </si>
  <si>
    <t xml:space="preserve">CD-CTRL-08 Price Benchmarking</t>
  </si>
  <si>
    <t xml:space="preserve">TRACE-09</t>
  </si>
  <si>
    <t xml:space="preserve">REQ-09</t>
  </si>
  <si>
    <t xml:space="preserve">Communications must be designed to be understood by the intended recipients.</t>
  </si>
  <si>
    <t xml:space="preserve">Customer Communications Standard v2.0</t>
  </si>
  <si>
    <t xml:space="preserve">CD-CTRL-09 Comms Testing</t>
  </si>
  <si>
    <t xml:space="preserve">Comms Testing Log</t>
  </si>
  <si>
    <t xml:space="preserve">TRACE-10</t>
  </si>
  <si>
    <t xml:space="preserve">REQ-10</t>
  </si>
  <si>
    <t xml:space="preserve">Firms must test communications to ensure they support customer understanding.</t>
  </si>
  <si>
    <t xml:space="preserve">CD-CTRL-10 Readability Testing</t>
  </si>
  <si>
    <t xml:space="preserve">CD-GAP-09</t>
  </si>
  <si>
    <t xml:space="preserve">TRACE-11</t>
  </si>
  <si>
    <t xml:space="preserve">REQ-11</t>
  </si>
  <si>
    <t xml:space="preserve">Support must be provided that meets retail customers' needs.</t>
  </si>
  <si>
    <t xml:space="preserve">Customer Service Standards v1.5</t>
  </si>
  <si>
    <t xml:space="preserve">CD-CTRL-11 Service Monitoring</t>
  </si>
  <si>
    <t xml:space="preserve">Service MI Pack</t>
  </si>
  <si>
    <t xml:space="preserve">TRACE-12</t>
  </si>
  <si>
    <t xml:space="preserve">REQ-12</t>
  </si>
  <si>
    <t xml:space="preserve">Customers must be able to switch, cancel, or complain as easily as they bought.</t>
  </si>
  <si>
    <t xml:space="preserve">CD-GAP-12</t>
  </si>
  <si>
    <t xml:space="preserve">TRACE-13</t>
  </si>
  <si>
    <t xml:space="preserve">REQ-13</t>
  </si>
  <si>
    <t xml:space="preserve">Firms must monitor and regularly review outcomes customers are experiencing.</t>
  </si>
  <si>
    <t xml:space="preserve">Consumer Duty MI Framework v1.0</t>
  </si>
  <si>
    <t xml:space="preserve">CD-CTRL-13 Outcomes MI</t>
  </si>
  <si>
    <t xml:space="preserve">Board MI Pack</t>
  </si>
  <si>
    <t xml:space="preserve">CD-GAP-02</t>
  </si>
  <si>
    <t xml:space="preserve">TRACE-14</t>
  </si>
  <si>
    <t xml:space="preserve">REQ-14</t>
  </si>
  <si>
    <t xml:space="preserve">The Board must review and approve an annual Consumer Duty report.</t>
  </si>
  <si>
    <t xml:space="preserve">Board Governance Framework v4.0</t>
  </si>
  <si>
    <t xml:space="preserve">CD-CTRL-14 Annual Report Sign-off</t>
  </si>
  <si>
    <t xml:space="preserve">Board Minutes</t>
  </si>
  <si>
    <t xml:space="preserve">TRACE-15</t>
  </si>
  <si>
    <t xml:space="preserve">REQ-15</t>
  </si>
  <si>
    <t xml:space="preserve">Firms should identify and record needs of customers with characteristics of vulnerability.</t>
  </si>
  <si>
    <t xml:space="preserve">Vulnerable Customer Policy (Draft)</t>
  </si>
  <si>
    <t xml:space="preserve">CD-CTRL-15 Vulnerability Identification</t>
  </si>
  <si>
    <t xml:space="preserve">Not yet centralised</t>
  </si>
  <si>
    <t xml:space="preserve">CD-GAP-03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</si>
</sst>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69.7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42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</cols>
  <sheetData>
    <row r="1" customFormat="false" ht="27.75" hidden="false" customHeight="true" outlineLevel="0" collapsed="false">
      <c r="A1" s="1" t="s">
        <v>8</v>
      </c>
      <c r="B1" s="1"/>
      <c r="C1" s="1"/>
    </row>
    <row r="2" customFormat="false" ht="19.5" hidden="false" customHeight="true" outlineLevel="0" collapsed="false">
      <c r="A2" s="2" t="s">
        <v>9</v>
      </c>
      <c r="B2" s="2"/>
      <c r="C2" s="2"/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12</v>
      </c>
    </row>
    <row r="5" customFormat="false" ht="15" hidden="false" customHeight="false" outlineLevel="0" collapsed="false">
      <c r="A5" s="6" t="s">
        <v>13</v>
      </c>
      <c r="B5" s="7" t="n">
        <f aca="false">COUNTIF('Traceability Matrix'!G5:G19,A5)</f>
        <v>6</v>
      </c>
      <c r="C5" s="8" t="n">
        <f aca="false">IFERROR(B5/COUNTA('Traceability Matrix'!A5:A19),0)</f>
        <v>0.4</v>
      </c>
    </row>
    <row r="6" customFormat="false" ht="15" hidden="false" customHeight="false" outlineLevel="0" collapsed="false">
      <c r="A6" s="6" t="s">
        <v>14</v>
      </c>
      <c r="B6" s="7" t="n">
        <f aca="false">COUNTIF('Traceability Matrix'!G5:G19,A6)</f>
        <v>6</v>
      </c>
      <c r="C6" s="8" t="n">
        <f aca="false">IFERROR(B6/COUNTA('Traceability Matrix'!A5:A19),0)</f>
        <v>0.4</v>
      </c>
    </row>
    <row r="7" customFormat="false" ht="15" hidden="false" customHeight="false" outlineLevel="0" collapsed="false">
      <c r="A7" s="6" t="s">
        <v>15</v>
      </c>
      <c r="B7" s="7" t="n">
        <f aca="false">COUNTIF('Traceability Matrix'!G5:G19,A7)</f>
        <v>3</v>
      </c>
      <c r="C7" s="8" t="n">
        <f aca="false">IFERROR(B7/COUNTA('Traceability Matrix'!A5:A19),0)</f>
        <v>0.2</v>
      </c>
    </row>
    <row r="9" customFormat="false" ht="15" hidden="false" customHeight="false" outlineLevel="0" collapsed="false">
      <c r="A9" s="9" t="s">
        <v>16</v>
      </c>
      <c r="B9" s="10" t="n">
        <f aca="false">COUNTA('Traceability Matrix'!A5:A19)</f>
        <v>15</v>
      </c>
    </row>
    <row r="10" customFormat="false" ht="15" hidden="false" customHeight="false" outlineLevel="0" collapsed="false">
      <c r="A10" s="9" t="s">
        <v>17</v>
      </c>
      <c r="B10" s="11" t="n">
        <f aca="false">COUNTIF('Traceability Matrix'!H5:H19,"?*")</f>
        <v>9</v>
      </c>
    </row>
    <row r="12" customFormat="false" ht="15" hidden="false" customHeight="false" outlineLevel="0" collapsed="false">
      <c r="A12" s="12" t="s">
        <v>18</v>
      </c>
      <c r="B12" s="12"/>
      <c r="C12" s="12"/>
    </row>
  </sheetData>
  <mergeCells count="3">
    <mergeCell ref="A1:C1"/>
    <mergeCell ref="A2:C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6" min="5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</row>
    <row r="5" customFormat="false" ht="33.75" hidden="false" customHeight="true" outlineLevel="0" collapsed="false">
      <c r="A5" s="13" t="s">
        <v>29</v>
      </c>
      <c r="B5" s="13" t="s">
        <v>30</v>
      </c>
      <c r="C5" s="14" t="s">
        <v>31</v>
      </c>
      <c r="D5" s="14" t="s">
        <v>32</v>
      </c>
      <c r="E5" s="14" t="s">
        <v>33</v>
      </c>
      <c r="F5" s="14" t="s">
        <v>34</v>
      </c>
      <c r="G5" s="15" t="s">
        <v>13</v>
      </c>
      <c r="H5" s="13"/>
      <c r="I5" s="16" t="str">
        <f aca="false">IF(G5="","",IF(G5="Full","Green",IF(G5="Partial","Amber","Red")))</f>
        <v>Green</v>
      </c>
    </row>
    <row r="6" customFormat="false" ht="33.75" hidden="false" customHeight="true" outlineLevel="0" collapsed="false">
      <c r="A6" s="17" t="s">
        <v>35</v>
      </c>
      <c r="B6" s="17" t="s">
        <v>36</v>
      </c>
      <c r="C6" s="18" t="s">
        <v>37</v>
      </c>
      <c r="D6" s="18" t="s">
        <v>32</v>
      </c>
      <c r="E6" s="18" t="s">
        <v>38</v>
      </c>
      <c r="F6" s="18" t="s">
        <v>39</v>
      </c>
      <c r="G6" s="19" t="s">
        <v>13</v>
      </c>
      <c r="H6" s="17"/>
      <c r="I6" s="20" t="str">
        <f aca="false">IF(G6="","",IF(G6="Full","Green",IF(G6="Partial","Amber","Red")))</f>
        <v>Green</v>
      </c>
    </row>
    <row r="7" customFormat="false" ht="33.75" hidden="false" customHeight="true" outlineLevel="0" collapsed="false">
      <c r="A7" s="13" t="s">
        <v>40</v>
      </c>
      <c r="B7" s="13" t="s">
        <v>41</v>
      </c>
      <c r="C7" s="14" t="s">
        <v>42</v>
      </c>
      <c r="D7" s="14" t="s">
        <v>43</v>
      </c>
      <c r="E7" s="14" t="s">
        <v>44</v>
      </c>
      <c r="F7" s="14" t="s">
        <v>45</v>
      </c>
      <c r="G7" s="15" t="s">
        <v>14</v>
      </c>
      <c r="H7" s="13" t="s">
        <v>46</v>
      </c>
      <c r="I7" s="16" t="str">
        <f aca="false">IF(G7="","",IF(G7="Full","Green",IF(G7="Partial","Amber","Red")))</f>
        <v>Amber</v>
      </c>
    </row>
    <row r="8" customFormat="false" ht="33.75" hidden="false" customHeight="true" outlineLevel="0" collapsed="false">
      <c r="A8" s="17" t="s">
        <v>47</v>
      </c>
      <c r="B8" s="17" t="s">
        <v>48</v>
      </c>
      <c r="C8" s="18" t="s">
        <v>49</v>
      </c>
      <c r="D8" s="18" t="s">
        <v>50</v>
      </c>
      <c r="E8" s="18" t="s">
        <v>51</v>
      </c>
      <c r="F8" s="18" t="s">
        <v>52</v>
      </c>
      <c r="G8" s="19" t="s">
        <v>15</v>
      </c>
      <c r="H8" s="17" t="s">
        <v>53</v>
      </c>
      <c r="I8" s="20" t="str">
        <f aca="false">IF(G8="","",IF(G8="Full","Green",IF(G8="Partial","Amber","Red")))</f>
        <v>Red</v>
      </c>
    </row>
    <row r="9" customFormat="false" ht="33.75" hidden="false" customHeight="true" outlineLevel="0" collapsed="false">
      <c r="A9" s="13" t="s">
        <v>54</v>
      </c>
      <c r="B9" s="13" t="s">
        <v>55</v>
      </c>
      <c r="C9" s="14" t="s">
        <v>56</v>
      </c>
      <c r="D9" s="14" t="s">
        <v>57</v>
      </c>
      <c r="E9" s="14" t="s">
        <v>58</v>
      </c>
      <c r="F9" s="14" t="s">
        <v>59</v>
      </c>
      <c r="G9" s="15" t="s">
        <v>13</v>
      </c>
      <c r="H9" s="13"/>
      <c r="I9" s="16" t="str">
        <f aca="false">IF(G9="","",IF(G9="Full","Green",IF(G9="Partial","Amber","Red")))</f>
        <v>Green</v>
      </c>
    </row>
    <row r="10" customFormat="false" ht="33.75" hidden="false" customHeight="true" outlineLevel="0" collapsed="false">
      <c r="A10" s="17" t="s">
        <v>60</v>
      </c>
      <c r="B10" s="17" t="s">
        <v>61</v>
      </c>
      <c r="C10" s="18" t="s">
        <v>62</v>
      </c>
      <c r="D10" s="18" t="s">
        <v>63</v>
      </c>
      <c r="E10" s="18" t="s">
        <v>64</v>
      </c>
      <c r="F10" s="18" t="s">
        <v>65</v>
      </c>
      <c r="G10" s="19" t="s">
        <v>14</v>
      </c>
      <c r="H10" s="17" t="s">
        <v>66</v>
      </c>
      <c r="I10" s="20" t="str">
        <f aca="false">IF(G10="","",IF(G10="Full","Green",IF(G10="Partial","Amber","Red")))</f>
        <v>Amber</v>
      </c>
    </row>
    <row r="11" customFormat="false" ht="33.75" hidden="false" customHeight="true" outlineLevel="0" collapsed="false">
      <c r="A11" s="13" t="s">
        <v>67</v>
      </c>
      <c r="B11" s="13" t="s">
        <v>68</v>
      </c>
      <c r="C11" s="14" t="s">
        <v>69</v>
      </c>
      <c r="D11" s="14" t="s">
        <v>70</v>
      </c>
      <c r="E11" s="14" t="s">
        <v>71</v>
      </c>
      <c r="F11" s="14" t="s">
        <v>72</v>
      </c>
      <c r="G11" s="15" t="s">
        <v>14</v>
      </c>
      <c r="H11" s="13" t="s">
        <v>73</v>
      </c>
      <c r="I11" s="16" t="str">
        <f aca="false">IF(G11="","",IF(G11="Full","Green",IF(G11="Partial","Amber","Red")))</f>
        <v>Amber</v>
      </c>
    </row>
    <row r="12" customFormat="false" ht="33.75" hidden="false" customHeight="true" outlineLevel="0" collapsed="false">
      <c r="A12" s="17" t="s">
        <v>74</v>
      </c>
      <c r="B12" s="17" t="s">
        <v>75</v>
      </c>
      <c r="C12" s="18" t="s">
        <v>76</v>
      </c>
      <c r="D12" s="18" t="s">
        <v>70</v>
      </c>
      <c r="E12" s="18" t="s">
        <v>77</v>
      </c>
      <c r="F12" s="18" t="s">
        <v>72</v>
      </c>
      <c r="G12" s="19" t="s">
        <v>14</v>
      </c>
      <c r="H12" s="17" t="s">
        <v>73</v>
      </c>
      <c r="I12" s="20" t="str">
        <f aca="false">IF(G12="","",IF(G12="Full","Green",IF(G12="Partial","Amber","Red")))</f>
        <v>Amber</v>
      </c>
    </row>
    <row r="13" customFormat="false" ht="33.75" hidden="false" customHeight="true" outlineLevel="0" collapsed="false">
      <c r="A13" s="13" t="s">
        <v>78</v>
      </c>
      <c r="B13" s="13" t="s">
        <v>79</v>
      </c>
      <c r="C13" s="14" t="s">
        <v>80</v>
      </c>
      <c r="D13" s="14" t="s">
        <v>81</v>
      </c>
      <c r="E13" s="14" t="s">
        <v>82</v>
      </c>
      <c r="F13" s="14" t="s">
        <v>83</v>
      </c>
      <c r="G13" s="15" t="s">
        <v>13</v>
      </c>
      <c r="H13" s="13"/>
      <c r="I13" s="16" t="str">
        <f aca="false">IF(G13="","",IF(G13="Full","Green",IF(G13="Partial","Amber","Red")))</f>
        <v>Green</v>
      </c>
    </row>
    <row r="14" customFormat="false" ht="33.75" hidden="false" customHeight="true" outlineLevel="0" collapsed="false">
      <c r="A14" s="17" t="s">
        <v>84</v>
      </c>
      <c r="B14" s="17" t="s">
        <v>85</v>
      </c>
      <c r="C14" s="18" t="s">
        <v>86</v>
      </c>
      <c r="D14" s="18" t="s">
        <v>81</v>
      </c>
      <c r="E14" s="18" t="s">
        <v>87</v>
      </c>
      <c r="F14" s="18" t="s">
        <v>83</v>
      </c>
      <c r="G14" s="19" t="s">
        <v>14</v>
      </c>
      <c r="H14" s="17" t="s">
        <v>88</v>
      </c>
      <c r="I14" s="20" t="str">
        <f aca="false">IF(G14="","",IF(G14="Full","Green",IF(G14="Partial","Amber","Red")))</f>
        <v>Amber</v>
      </c>
    </row>
    <row r="15" customFormat="false" ht="33.75" hidden="false" customHeight="true" outlineLevel="0" collapsed="false">
      <c r="A15" s="13" t="s">
        <v>89</v>
      </c>
      <c r="B15" s="13" t="s">
        <v>90</v>
      </c>
      <c r="C15" s="14" t="s">
        <v>91</v>
      </c>
      <c r="D15" s="14" t="s">
        <v>92</v>
      </c>
      <c r="E15" s="14" t="s">
        <v>93</v>
      </c>
      <c r="F15" s="14" t="s">
        <v>94</v>
      </c>
      <c r="G15" s="15" t="s">
        <v>13</v>
      </c>
      <c r="H15" s="13"/>
      <c r="I15" s="16" t="str">
        <f aca="false">IF(G15="","",IF(G15="Full","Green",IF(G15="Partial","Amber","Red")))</f>
        <v>Green</v>
      </c>
    </row>
    <row r="16" customFormat="false" ht="33.75" hidden="false" customHeight="true" outlineLevel="0" collapsed="false">
      <c r="A16" s="17" t="s">
        <v>95</v>
      </c>
      <c r="B16" s="17" t="s">
        <v>96</v>
      </c>
      <c r="C16" s="18" t="s">
        <v>97</v>
      </c>
      <c r="D16" s="18" t="s">
        <v>50</v>
      </c>
      <c r="E16" s="18" t="s">
        <v>51</v>
      </c>
      <c r="F16" s="18" t="s">
        <v>52</v>
      </c>
      <c r="G16" s="19" t="s">
        <v>15</v>
      </c>
      <c r="H16" s="17" t="s">
        <v>98</v>
      </c>
      <c r="I16" s="20" t="str">
        <f aca="false">IF(G16="","",IF(G16="Full","Green",IF(G16="Partial","Amber","Red")))</f>
        <v>Red</v>
      </c>
    </row>
    <row r="17" customFormat="false" ht="33.75" hidden="false" customHeight="true" outlineLevel="0" collapsed="false">
      <c r="A17" s="13" t="s">
        <v>99</v>
      </c>
      <c r="B17" s="13" t="s">
        <v>100</v>
      </c>
      <c r="C17" s="14" t="s">
        <v>101</v>
      </c>
      <c r="D17" s="14" t="s">
        <v>102</v>
      </c>
      <c r="E17" s="14" t="s">
        <v>103</v>
      </c>
      <c r="F17" s="14" t="s">
        <v>104</v>
      </c>
      <c r="G17" s="15" t="s">
        <v>14</v>
      </c>
      <c r="H17" s="13" t="s">
        <v>105</v>
      </c>
      <c r="I17" s="16" t="str">
        <f aca="false">IF(G17="","",IF(G17="Full","Green",IF(G17="Partial","Amber","Red")))</f>
        <v>Amber</v>
      </c>
    </row>
    <row r="18" customFormat="false" ht="33.75" hidden="false" customHeight="true" outlineLevel="0" collapsed="false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111</v>
      </c>
      <c r="G18" s="19" t="s">
        <v>13</v>
      </c>
      <c r="H18" s="17"/>
      <c r="I18" s="20" t="str">
        <f aca="false">IF(G18="","",IF(G18="Full","Green",IF(G18="Partial","Amber","Red")))</f>
        <v>Green</v>
      </c>
    </row>
    <row r="19" customFormat="false" ht="33.75" hidden="false" customHeight="true" outlineLevel="0" collapsed="false">
      <c r="A19" s="13" t="s">
        <v>112</v>
      </c>
      <c r="B19" s="13" t="s">
        <v>113</v>
      </c>
      <c r="C19" s="14" t="s">
        <v>114</v>
      </c>
      <c r="D19" s="14" t="s">
        <v>115</v>
      </c>
      <c r="E19" s="14" t="s">
        <v>116</v>
      </c>
      <c r="F19" s="14" t="s">
        <v>117</v>
      </c>
      <c r="G19" s="15" t="s">
        <v>15</v>
      </c>
      <c r="H19" s="13" t="s">
        <v>118</v>
      </c>
      <c r="I19" s="16" t="str">
        <f aca="false">IF(G19="","",IF(G19="Full","Green",IF(G19="Partial","Amber","Red")))</f>
        <v>Red</v>
      </c>
    </row>
  </sheetData>
  <mergeCells count="2">
    <mergeCell ref="A1:I1"/>
    <mergeCell ref="A2:I2"/>
  </mergeCells>
  <conditionalFormatting sqref="I5:I19">
    <cfRule type="expression" priority="2" aboveAverage="0" equalAverage="0" bottom="0" percent="0" rank="0" text="" dxfId="0">
      <formula>I5="Red"</formula>
    </cfRule>
    <cfRule type="expression" priority="3" aboveAverage="0" equalAverage="0" bottom="0" percent="0" rank="0" text="" dxfId="1">
      <formula>I5="Amber"</formula>
    </cfRule>
    <cfRule type="expression" priority="4" aboveAverage="0" equalAverage="0" bottom="0" percent="0" rank="0" text="" dxfId="2">
      <formula>I5="Green"</formula>
    </cfRule>
  </conditionalFormatting>
  <dataValidations count="1">
    <dataValidation allowBlank="true" errorStyle="stop" operator="between" showDropDown="false" showErrorMessage="false" showInputMessage="false" sqref="G5:G19" type="list">
      <formula1>"Full,Partial,None"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2026-08-05T15:38:20Z</dcterms:created>
  <dc:creator>openpyxl</dc:creator>
  <dc:description/>
  <dc:language>en-US</dc:language>
  <cp:lastModifiedBy/>
  <dcterms:modified xsi:type="dcterms:W3CDTF">2026-08-05T15:38:20Z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