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VFM Scorec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<sst xmlns="http://schemas.openxmlformats.org/spreadsheetml/2006/main" count="38" uniqueCount="36">
  <si>
    <t xml:space="preserve">CD-I2 · Value for Money Scorecard</t>
  </si>
  <si>
    <t xml:space="preserve">Consumer Duty Implementation — Price &amp; Value Outcome</t>
  </si>
  <si>
    <t xml:space="preserve">Purpose</t>
  </si>
  <si>
    <t xml:space="preserve">This scorecard combines price, quality/service, and benefits into a single weighted Value for Money (VFM) score for each product, providing a consistent, comparable measure to support Fair Value Assessment decisions under PRIN 2A.4.</t>
  </si>
  <si>
    <t xml:space="preserve">How to use this workbook</t>
  </si>
  <si>
    <t xml:space="preserve">1. Complete one row per product in the VFM Scorecard.
2. Score each dimension 1 (Poor) to 5 (Excellent) using the drop-downs.
3. The weighted Overall VFM Score and Rating calculate automatically using the weightings shown in the header (editable if your methodology differs).
4. Review the Summary tab for products requiring attention.</t>
  </si>
  <si>
    <t xml:space="preserve">Default weightings</t>
  </si>
  <si>
    <t xml:space="preserve">Price Competitiveness — 30%.
Product Quality / Features — 25%.
Customer Service — 20%.
Benefits Delivered — 25%.
Rating bands: 4.0–5.0 = Excellent, 3.0–3.9 = Good, 2.0–2.9 = Fair, below 2.0 = Poor.</t>
  </si>
  <si>
    <t xml:space="preserve">CD-I2 · VFM Summary</t>
  </si>
  <si>
    <t xml:space="preserve">Auto-calculates from the VFM Scorecard</t>
  </si>
  <si>
    <t xml:space="preserve">Rating</t>
  </si>
  <si>
    <t xml:space="preserve">Count</t>
  </si>
  <si>
    <t xml:space="preserve">Excellent</t>
  </si>
  <si>
    <t xml:space="preserve">Good</t>
  </si>
  <si>
    <t xml:space="preserve">Fair</t>
  </si>
  <si>
    <t xml:space="preserve">Poor</t>
  </si>
  <si>
    <t xml:space="preserve">Average VFM Score</t>
  </si>
  <si>
    <t xml:space="preserve">Products rated 'Poor' should be prioritised for Fair Value Assessment review and logged in the Gap Analysis Framework (CD-F1).</t>
  </si>
  <si>
    <t xml:space="preserve">Weighted score: Price 30% · Quality 25% · Service 20% · Benefits 25%</t>
  </si>
  <si>
    <t xml:space="preserve">Ref</t>
  </si>
  <si>
    <t xml:space="preserve">Product / Service</t>
  </si>
  <si>
    <t xml:space="preserve">Price
Competitive-
ness (1-5)</t>
  </si>
  <si>
    <t xml:space="preserve">Product
Quality (1-5)</t>
  </si>
  <si>
    <t xml:space="preserve">Customer
Service (1-5)</t>
  </si>
  <si>
    <t xml:space="preserve">Benefits
Delivered (1-5)</t>
  </si>
  <si>
    <t xml:space="preserve">Overall
VFM Score</t>
  </si>
  <si>
    <t xml:space="preserve">Owner</t>
  </si>
  <si>
    <t xml:space="preserve">Review Date</t>
  </si>
  <si>
    <t xml:space="preserve">VFM-01</t>
  </si>
  <si>
    <t xml:space="preserve">Instant Access Savings Account</t>
  </si>
  <si>
    <t xml:space="preserve">VFM-02</t>
  </si>
  <si>
    <t xml:space="preserve">Fixed Term Personal Loan</t>
  </si>
  <si>
    <t xml:space="preserve">VFM-03</t>
  </si>
  <si>
    <t xml:space="preserve">Stocks &amp; Shares ISA</t>
  </si>
  <si>
    <t xml:space="preserve">VFM-04</t>
  </si>
  <si>
    <t xml:space="preserve">Travel Insurance (Single Trip)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</si>
</sst>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"/>
    <numFmt numFmtId="167" formatCode="dd/mm/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DD7EE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869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55.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69.75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  <c r="B4" s="5" t="s">
        <v>11</v>
      </c>
    </row>
    <row r="5" customFormat="false" ht="15" hidden="false" customHeight="false" outlineLevel="0" collapsed="false">
      <c r="A5" s="6" t="s">
        <v>12</v>
      </c>
      <c r="B5" s="7" t="n">
        <f aca="false">COUNTIF('VFM Scorecard'!H5:H8,A5)</f>
        <v>0</v>
      </c>
    </row>
    <row r="6" customFormat="false" ht="15" hidden="false" customHeight="false" outlineLevel="0" collapsed="false">
      <c r="A6" s="6" t="s">
        <v>13</v>
      </c>
      <c r="B6" s="7" t="n">
        <f aca="false">COUNTIF('VFM Scorecard'!H5:H8,A6)</f>
        <v>2</v>
      </c>
    </row>
    <row r="7" customFormat="false" ht="15" hidden="false" customHeight="false" outlineLevel="0" collapsed="false">
      <c r="A7" s="6" t="s">
        <v>14</v>
      </c>
      <c r="B7" s="7" t="n">
        <f aca="false">COUNTIF('VFM Scorecard'!H5:H8,A7)</f>
        <v>2</v>
      </c>
    </row>
    <row r="8" customFormat="false" ht="15" hidden="false" customHeight="false" outlineLevel="0" collapsed="false">
      <c r="A8" s="6" t="s">
        <v>15</v>
      </c>
      <c r="B8" s="7" t="n">
        <f aca="false">COUNTIF('VFM Scorecard'!H5:H8,A8)</f>
        <v>0</v>
      </c>
    </row>
    <row r="10" customFormat="false" ht="15" hidden="false" customHeight="false" outlineLevel="0" collapsed="false">
      <c r="A10" s="8" t="s">
        <v>16</v>
      </c>
      <c r="B10" s="9" t="n">
        <f aca="false">IFERROR(AVERAGE('VFM Scorecard'!G5:G8),"")</f>
        <v>3.1125</v>
      </c>
    </row>
    <row r="12" customFormat="false" ht="15" hidden="false" customHeight="false" outlineLevel="0" collapsed="false">
      <c r="A12" s="10" t="s">
        <v>17</v>
      </c>
      <c r="B12" s="10"/>
    </row>
  </sheetData>
  <mergeCells count="3">
    <mergeCell ref="A1:B1"/>
    <mergeCell ref="A2:B2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6" min="3" style="0" width="12"/>
    <col collapsed="false" customWidth="true" hidden="false" outlineLevel="0" max="9" min="7" style="0" width="14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42" hidden="false" customHeight="true" outlineLevel="0" collapsed="false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24</v>
      </c>
      <c r="G4" s="5" t="s">
        <v>25</v>
      </c>
      <c r="H4" s="5" t="s">
        <v>10</v>
      </c>
      <c r="I4" s="5" t="s">
        <v>26</v>
      </c>
      <c r="J4" s="5" t="s">
        <v>27</v>
      </c>
    </row>
    <row r="5" customFormat="false" ht="31.5" hidden="false" customHeight="true" outlineLevel="0" collapsed="false">
      <c r="A5" s="11" t="s">
        <v>28</v>
      </c>
      <c r="B5" s="12" t="s">
        <v>29</v>
      </c>
      <c r="C5" s="13" t="n">
        <v>4</v>
      </c>
      <c r="D5" s="13" t="n">
        <v>4</v>
      </c>
      <c r="E5" s="13" t="n">
        <v>4</v>
      </c>
      <c r="F5" s="13" t="n">
        <v>3</v>
      </c>
      <c r="G5" s="14" t="n">
        <f aca="false">IF(COUNTA(C5:F5)&lt;4,"",C5*0.3+D5*0.25+E5*0.2+F5*0.25)</f>
        <v>3.75</v>
      </c>
      <c r="H5" s="15" t="str">
        <f aca="false">IF(G5="","",IF(G5&gt;=4,"Excellent",IF(G5&gt;=3,"Good",IF(G5&gt;=2,"Fair","Poor"))))</f>
        <v>Good</v>
      </c>
      <c r="I5" s="6"/>
      <c r="J5" s="16"/>
    </row>
    <row r="6" customFormat="false" ht="31.5" hidden="false" customHeight="true" outlineLevel="0" collapsed="false">
      <c r="A6" s="17" t="s">
        <v>30</v>
      </c>
      <c r="B6" s="18" t="s">
        <v>31</v>
      </c>
      <c r="C6" s="19" t="n">
        <v>2</v>
      </c>
      <c r="D6" s="19" t="n">
        <v>3</v>
      </c>
      <c r="E6" s="19" t="n">
        <v>4</v>
      </c>
      <c r="F6" s="19" t="n">
        <v>3</v>
      </c>
      <c r="G6" s="20" t="n">
        <f aca="false">IF(COUNTA(C6:F6)&lt;4,"",C6*0.3+D6*0.25+E6*0.2+F6*0.25)</f>
        <v>2.9</v>
      </c>
      <c r="H6" s="21" t="str">
        <f aca="false">IF(G6="","",IF(G6&gt;=4,"Excellent",IF(G6&gt;=3,"Good",IF(G6&gt;=2,"Fair","Poor"))))</f>
        <v>Fair</v>
      </c>
      <c r="I6" s="22"/>
      <c r="J6" s="23"/>
    </row>
    <row r="7" customFormat="false" ht="31.5" hidden="false" customHeight="true" outlineLevel="0" collapsed="false">
      <c r="A7" s="11" t="s">
        <v>32</v>
      </c>
      <c r="B7" s="12" t="s">
        <v>33</v>
      </c>
      <c r="C7" s="13" t="n">
        <v>3</v>
      </c>
      <c r="D7" s="13" t="n">
        <v>4</v>
      </c>
      <c r="E7" s="13" t="n">
        <v>3</v>
      </c>
      <c r="F7" s="13" t="n">
        <v>4</v>
      </c>
      <c r="G7" s="14" t="n">
        <f aca="false">IF(COUNTA(C7:F7)&lt;4,"",C7*0.3+D7*0.25+E7*0.2+F7*0.25)</f>
        <v>3.5</v>
      </c>
      <c r="H7" s="15" t="str">
        <f aca="false">IF(G7="","",IF(G7&gt;=4,"Excellent",IF(G7&gt;=3,"Good",IF(G7&gt;=2,"Fair","Poor"))))</f>
        <v>Good</v>
      </c>
      <c r="I7" s="6"/>
      <c r="J7" s="16"/>
    </row>
    <row r="8" customFormat="false" ht="31.5" hidden="false" customHeight="true" outlineLevel="0" collapsed="false">
      <c r="A8" s="17" t="s">
        <v>34</v>
      </c>
      <c r="B8" s="18" t="s">
        <v>35</v>
      </c>
      <c r="C8" s="19" t="n">
        <v>3</v>
      </c>
      <c r="D8" s="19" t="n">
        <v>2</v>
      </c>
      <c r="E8" s="19" t="n">
        <v>2</v>
      </c>
      <c r="F8" s="19" t="n">
        <v>2</v>
      </c>
      <c r="G8" s="20" t="n">
        <f aca="false">IF(COUNTA(C8:F8)&lt;4,"",C8*0.3+D8*0.25+E8*0.2+F8*0.25)</f>
        <v>2.3</v>
      </c>
      <c r="H8" s="21" t="str">
        <f aca="false">IF(G8="","",IF(G8&gt;=4,"Excellent",IF(G8&gt;=3,"Good",IF(G8&gt;=2,"Fair","Poor"))))</f>
        <v>Fair</v>
      </c>
      <c r="I8" s="22"/>
      <c r="J8" s="23"/>
    </row>
  </sheetData>
  <mergeCells count="2">
    <mergeCell ref="A1:J1"/>
    <mergeCell ref="A2:J2"/>
  </mergeCells>
  <conditionalFormatting sqref="H5:H8">
    <cfRule type="expression" priority="2" aboveAverage="0" equalAverage="0" bottom="0" percent="0" rank="0" text="" dxfId="0">
      <formula>H5="Poor"</formula>
    </cfRule>
    <cfRule type="expression" priority="3" aboveAverage="0" equalAverage="0" bottom="0" percent="0" rank="0" text="" dxfId="1">
      <formula>H5="Fair"</formula>
    </cfRule>
    <cfRule type="expression" priority="4" aboveAverage="0" equalAverage="0" bottom="0" percent="0" rank="0" text="" dxfId="2">
      <formula>H5="Good"</formula>
    </cfRule>
    <cfRule type="expression" priority="5" aboveAverage="0" equalAverage="0" bottom="0" percent="0" rank="0" text="" dxfId="3">
      <formula>H5="Excellent"</formula>
    </cfRule>
  </conditionalFormatting>
  <dataValidations count="1">
    <dataValidation allowBlank="true" errorStyle="stop" operator="between" showDropDown="false" showErrorMessage="false" showInputMessage="false" sqref="C5:F8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2026-08-05T16:10:57Z</dcterms:created>
  <dc:creator>openpyxl</dc:creator>
  <dc:description/>
  <dc:language>en-US</dc:language>
  <cp:lastModifiedBy/>
  <dcterms:modified xsi:type="dcterms:W3CDTF">2026-08-05T16:10:57Z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