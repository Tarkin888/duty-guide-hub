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Price Benchmarking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<sst xmlns="http://schemas.openxmlformats.org/spreadsheetml/2006/main" count="37" uniqueCount="36">
  <si>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CD-I2 · Price Benchmarking Template</t>
  </si>
  <si>
    <t xml:space="preserve">Consumer Duty Implementation — Price &amp; Value Outcome</t>
  </si>
  <si>
    <t xml:space="preserve">Purpose</t>
  </si>
  <si>
    <t xml:space="preserve">This template benchmarks the firm's pricing against comparable products in the market, supporting the Fair Value Assessment Framework (CD-I2) requirement under PRIN 2A.4 to assess whether the price a customer pays is reasonable relative to the benefits provided.</t>
  </si>
  <si>
    <t xml:space="preserve">How to use this workbook</t>
  </si>
  <si>
    <t xml:space="preserve">1. Complete one row per product in the Price Benchmarking Register.
2. Record our price/fee and at least three comparable market prices.
3. The Market Average and our Price Position (percentile) calculate automatically.
4. Select an Assessment outcome from the drop-down — RAG calculates automatically.
5. Refresh benchmarking at least annually, or in line with the FVA Review Schedule &amp; Tracker (CD-I2).</t>
  </si>
  <si>
    <t xml:space="preserve">Assessment guide</t>
  </si>
  <si>
    <t xml:space="preserve">Competitive — our price is at or below the market average.
Aligned — our price is above average but within a reasonable range (broadly up to 10% above).
Above Market — our price is materially above comparable products and requires justification or review.</t>
  </si>
  <si>
    <t xml:space="preserve">CD-I2 · Price Benchmarking Summary</t>
  </si>
  <si>
    <t xml:space="preserve">Auto-calculates from the Price Benchmarking Register</t>
  </si>
  <si>
    <t xml:space="preserve">Assessment</t>
  </si>
  <si>
    <t xml:space="preserve">Count</t>
  </si>
  <si>
    <t xml:space="preserve">Competitive</t>
  </si>
  <si>
    <t xml:space="preserve">Aligned</t>
  </si>
  <si>
    <t xml:space="preserve">Above Market</t>
  </si>
  <si>
    <t xml:space="preserve">Products assessed as 'Above Market' should be reviewed via the Value for Money Scorecard (CD-I2) and, if unjustified, logged in the Gap Analysis Framework (CD-F1).</t>
  </si>
  <si>
    <t xml:space="preserve">CD-I2 · Price Benchmarking Register</t>
  </si>
  <si>
    <t xml:space="preserve">Our price vs. market comparators — auto-calculated average and position</t>
  </si>
  <si>
    <t xml:space="preserve">Ref</t>
  </si>
  <si>
    <t xml:space="preserve">Product / Service</t>
  </si>
  <si>
    <t xml:space="preserve">Our Price
(£/%)</t>
  </si>
  <si>
    <t xml:space="preserve">Comparator 1
Price</t>
  </si>
  <si>
    <t xml:space="preserve">Comparator 2
Price</t>
  </si>
  <si>
    <t xml:space="preserve">Comparator 3
Price</t>
  </si>
  <si>
    <t xml:space="preserve">Market
Average</t>
  </si>
  <si>
    <t xml:space="preserve">Price vs
Average</t>
  </si>
  <si>
    <t xml:space="preserve">RAG</t>
  </si>
  <si>
    <t xml:space="preserve">Date</t>
  </si>
  <si>
    <t xml:space="preserve">PB-01</t>
  </si>
  <si>
    <t xml:space="preserve">Instant Access Savings Account (AER)</t>
  </si>
  <si>
    <t xml:space="preserve">PB-02</t>
  </si>
  <si>
    <t xml:space="preserve">Fixed Term Personal Loan (APR)</t>
  </si>
  <si>
    <t xml:space="preserve">PB-03</t>
  </si>
  <si>
    <t xml:space="preserve">Stocks &amp; Shares ISA (Platform Fee %)</t>
  </si>
  <si>
    <t xml:space="preserve">PB-04</t>
  </si>
  <si>
    <t xml:space="preserve">Travel Insurance Single Trip (Premium £)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</si>
</sst>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\+0.0%;\-0.0%"/>
    <numFmt numFmtId="168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69.7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42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COUNTIF('Price Benchmarking Register'!I5:I8,A5)</f>
        <v>0</v>
      </c>
    </row>
    <row r="6" customFormat="false" ht="15" hidden="false" customHeight="false" outlineLevel="0" collapsed="false">
      <c r="A6" s="6" t="s">
        <v>13</v>
      </c>
      <c r="B6" s="7" t="n">
        <f aca="false">COUNTIF('Price Benchmarking Register'!I5:I8,A6)</f>
        <v>0</v>
      </c>
    </row>
    <row r="7" customFormat="false" ht="15" hidden="false" customHeight="false" outlineLevel="0" collapsed="false">
      <c r="A7" s="6" t="s">
        <v>14</v>
      </c>
      <c r="B7" s="7" t="n">
        <f aca="false">COUNTIF('Price Benchmarking Register'!I5:I8,A7)</f>
        <v>0</v>
      </c>
    </row>
    <row r="9" customFormat="false" ht="15" hidden="false" customHeight="false" outlineLevel="0" collapsed="false">
      <c r="A9" s="8" t="s">
        <v>15</v>
      </c>
      <c r="B9" s="8"/>
    </row>
  </sheetData>
  <mergeCells count="3">
    <mergeCell ref="A1:B1"/>
    <mergeCell ref="A2:B2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6" min="4" style="0" width="16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1" min="10" style="0" width="12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10</v>
      </c>
      <c r="J4" s="5" t="s">
        <v>26</v>
      </c>
      <c r="K4" s="5" t="s">
        <v>27</v>
      </c>
    </row>
    <row r="5" customFormat="false" ht="31.5" hidden="false" customHeight="true" outlineLevel="0" collapsed="false">
      <c r="A5" s="9" t="s">
        <v>28</v>
      </c>
      <c r="B5" s="10" t="s">
        <v>29</v>
      </c>
      <c r="C5" s="11" t="n">
        <v>3.1</v>
      </c>
      <c r="D5" s="11" t="n">
        <v>3.45</v>
      </c>
      <c r="E5" s="11" t="n">
        <v>3.2</v>
      </c>
      <c r="F5" s="11" t="n">
        <v>3.6</v>
      </c>
      <c r="G5" s="12" t="n">
        <f aca="false">AVERAGE(D5:F5)</f>
        <v>3.41666666666667</v>
      </c>
      <c r="H5" s="13" t="n">
        <f aca="false">IFERROR((C5-G5)/G5,"")</f>
        <v>-0.0926829268292682</v>
      </c>
      <c r="I5" s="14"/>
      <c r="J5" s="15" t="str">
        <f aca="false">IF(I5="","",IF(I5="Competitive","Green",IF(I5="Aligned","Amber","Red")))</f>
        <v/>
      </c>
      <c r="K5" s="16"/>
    </row>
    <row r="6" customFormat="false" ht="31.5" hidden="false" customHeight="true" outlineLevel="0" collapsed="false">
      <c r="A6" s="17" t="s">
        <v>30</v>
      </c>
      <c r="B6" s="18" t="s">
        <v>31</v>
      </c>
      <c r="C6" s="19" t="n">
        <v>8.9</v>
      </c>
      <c r="D6" s="19" t="n">
        <v>7.5</v>
      </c>
      <c r="E6" s="19" t="n">
        <v>8.1</v>
      </c>
      <c r="F6" s="19" t="n">
        <v>7.9</v>
      </c>
      <c r="G6" s="20" t="n">
        <f aca="false">AVERAGE(D6:F6)</f>
        <v>7.83333333333333</v>
      </c>
      <c r="H6" s="21" t="n">
        <f aca="false">IFERROR((C6-G6)/G6,"")</f>
        <v>0.136170212765958</v>
      </c>
      <c r="I6" s="22"/>
      <c r="J6" s="23" t="str">
        <f aca="false">IF(I6="","",IF(I6="Competitive","Green",IF(I6="Aligned","Amber","Red")))</f>
        <v/>
      </c>
      <c r="K6" s="24"/>
    </row>
    <row r="7" customFormat="false" ht="31.5" hidden="false" customHeight="true" outlineLevel="0" collapsed="false">
      <c r="A7" s="9" t="s">
        <v>32</v>
      </c>
      <c r="B7" s="10" t="s">
        <v>33</v>
      </c>
      <c r="C7" s="11" t="n">
        <v>0.45</v>
      </c>
      <c r="D7" s="11" t="n">
        <v>0.35</v>
      </c>
      <c r="E7" s="11" t="n">
        <v>0.4</v>
      </c>
      <c r="F7" s="11" t="n">
        <v>0.3</v>
      </c>
      <c r="G7" s="12" t="n">
        <f aca="false">AVERAGE(D7:F7)</f>
        <v>0.35</v>
      </c>
      <c r="H7" s="13" t="n">
        <f aca="false">IFERROR((C7-G7)/G7,"")</f>
        <v>0.285714285714286</v>
      </c>
      <c r="I7" s="14"/>
      <c r="J7" s="15" t="str">
        <f aca="false">IF(I7="","",IF(I7="Competitive","Green",IF(I7="Aligned","Amber","Red")))</f>
        <v/>
      </c>
      <c r="K7" s="16"/>
    </row>
    <row r="8" customFormat="false" ht="31.5" hidden="false" customHeight="true" outlineLevel="0" collapsed="false">
      <c r="A8" s="17" t="s">
        <v>34</v>
      </c>
      <c r="B8" s="18" t="s">
        <v>35</v>
      </c>
      <c r="C8" s="19" t="n">
        <v>24.99</v>
      </c>
      <c r="D8" s="19" t="n">
        <v>22.5</v>
      </c>
      <c r="E8" s="19" t="n">
        <v>26</v>
      </c>
      <c r="F8" s="19" t="n">
        <v>23.75</v>
      </c>
      <c r="G8" s="20" t="n">
        <f aca="false">AVERAGE(D8:F8)</f>
        <v>24.0833333333333</v>
      </c>
      <c r="H8" s="21" t="n">
        <f aca="false">IFERROR((C8-G8)/G8,"")</f>
        <v>0.0376470588235294</v>
      </c>
      <c r="I8" s="22"/>
      <c r="J8" s="23" t="str">
        <f aca="false">IF(I8="","",IF(I8="Competitive","Green",IF(I8="Aligned","Amber","Red")))</f>
        <v/>
      </c>
      <c r="K8" s="24"/>
    </row>
  </sheetData>
  <mergeCells count="2">
    <mergeCell ref="A1:K1"/>
    <mergeCell ref="A2:K2"/>
  </mergeCells>
  <conditionalFormatting sqref="J5:J8">
    <cfRule type="expression" priority="2" aboveAverage="0" equalAverage="0" bottom="0" percent="0" rank="0" text="" dxfId="0">
      <formula>J5="Red"</formula>
    </cfRule>
    <cfRule type="expression" priority="3" aboveAverage="0" equalAverage="0" bottom="0" percent="0" rank="0" text="" dxfId="1">
      <formula>J5="Amber"</formula>
    </cfRule>
    <cfRule type="expression" priority="4" aboveAverage="0" equalAverage="0" bottom="0" percent="0" rank="0" text="" dxfId="2">
      <formula>J5="Green"</formula>
    </cfRule>
  </conditionalFormatting>
  <dataValidations count="1">
    <dataValidation allowBlank="true" errorStyle="stop" operator="between" showDropDown="false" showErrorMessage="false" showInputMessage="false" sqref="I5:I8" type="list">
      <formula1>"Competitive,Aligned,Above Market"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2026-08-05T16:10:28Z</dcterms:created>
  <dc:creator>openpyxl</dc:creator>
  <dc:description/>
  <dc:language>en-US</dc:language>
  <cp:lastModifiedBy/>
  <dcterms:modified xsi:type="dcterms:W3CDTF">2026-08-05T16:10:28Z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