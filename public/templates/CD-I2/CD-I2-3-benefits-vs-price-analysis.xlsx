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Benefits vs Price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<sst xmlns="http://schemas.openxmlformats.org/spreadsheetml/2006/main" count="42" uniqueCount="41">
  <si>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CD-I2 · Benefits vs Price Analysis</t>
  </si>
  <si>
    <t xml:space="preserve">Consumer Duty Implementation — Price &amp; Value Outcome</t>
  </si>
  <si>
    <t xml:space="preserve">Purpose</t>
  </si>
  <si>
    <t xml:space="preserve">This analysis sets the monetary and non-monetary benefits a customer receives from a product against the total price they pay, producing a benefit-to-price ratio that evidences whether the price is reasonable relative to the benefits, per PRIN 2A.4.14R.</t>
  </si>
  <si>
    <t xml:space="preserve">How to use this workbook</t>
  </si>
  <si>
    <t xml:space="preserve">1. Complete one row per product in the Benefits vs Price Register.
2. Quantify monetary benefits (£) wherever possible; describe non-monetary benefits qualitatively.
3. Enter the total price/cost to the customer over the relevant period (e.g., annualised).
4. The Benefit-to-Price Ratio and Assessment calculate automatically.
5. Where benefits cannot be fully monetised, document professional judgement clearly in the notes.</t>
  </si>
  <si>
    <t xml:space="preserve">Assessment guide</t>
  </si>
  <si>
    <t xml:space="preserve">A ratio below 1.0 means monetary benefits are less than the price paid — this does not automatically mean poor value (non-monetary benefits may justify it) but requires clear rationale. A ratio at or above 1.0 indicates monetary benefits meet or exceed the price paid.</t>
  </si>
  <si>
    <t xml:space="preserve">CD-I2 · Benefits vs Price Summary</t>
  </si>
  <si>
    <t xml:space="preserve">Auto-calculates from the Benefits vs Price Register</t>
  </si>
  <si>
    <t xml:space="preserve">Assessment</t>
  </si>
  <si>
    <t xml:space="preserve">Count</t>
  </si>
  <si>
    <t xml:space="preserve">Meets/Exceeds Price</t>
  </si>
  <si>
    <t xml:space="preserve">Below Price — Justify</t>
  </si>
  <si>
    <t xml:space="preserve">Qualitative Review</t>
  </si>
  <si>
    <t xml:space="preserve">Products flagged 'Below Price — Justify' should be cross-checked against the Value for Money Scorecard (CD-I2) before finalising the Fair Value Assessment.</t>
  </si>
  <si>
    <t xml:space="preserve">CD-I2 · Benefits vs Price Register</t>
  </si>
  <si>
    <t xml:space="preserve">Monetary and non-monetary benefits assessed against total price paid</t>
  </si>
  <si>
    <t xml:space="preserve">Ref</t>
  </si>
  <si>
    <t xml:space="preserve">Product / Service</t>
  </si>
  <si>
    <t xml:space="preserve">Monetary Benefit
(£ p.a.)</t>
  </si>
  <si>
    <t xml:space="preserve">Non-Monetary Benefits</t>
  </si>
  <si>
    <t xml:space="preserve">Total Price /
Cost (£ p.a.)</t>
  </si>
  <si>
    <t xml:space="preserve">Benefit-to-
Price Ratio</t>
  </si>
  <si>
    <t xml:space="preserve">Notes / Rationale</t>
  </si>
  <si>
    <t xml:space="preserve">BP-01</t>
  </si>
  <si>
    <t xml:space="preserve">Instant Access Savings Account</t>
  </si>
  <si>
    <t xml:space="preserve">Instant access to funds; FSCS protection; mobile app convenience.</t>
  </si>
  <si>
    <t xml:space="preserve">No direct fee — interest is the customer's benefit; FSCS protection and access add non-monetary value.</t>
  </si>
  <si>
    <t xml:space="preserve">BP-02</t>
  </si>
  <si>
    <t xml:space="preserve">Fixed Term Personal Loan</t>
  </si>
  <si>
    <t xml:space="preserve">Certainty of fixed repayments; no early repayment penalty; fast decisioning.</t>
  </si>
  <si>
    <t xml:space="preserve">Interest cost of £445 p.a. reflects unsecured lending risk; benefit is access to credit, not monetary return.</t>
  </si>
  <si>
    <t xml:space="preserve">BP-03</t>
  </si>
  <si>
    <t xml:space="preserve">Stocks &amp; Shares ISA</t>
  </si>
  <si>
    <t xml:space="preserve">Tax-free growth potential; wide fund choice; annual review tools.</t>
  </si>
  <si>
    <t xml:space="preserve">Platform fee of £45 p.a. on £10,000 holding (0.45%); benchmarked as 'Aligned' in Price Benchmarking Template.</t>
  </si>
  <si>
    <t xml:space="preserve">BP-04</t>
  </si>
  <si>
    <t xml:space="preserve">Travel Insurance (Single Trip)</t>
  </si>
  <si>
    <t xml:space="preserve">Medical cover up to £5m; cancellation cover; 24/7 assistance line.</t>
  </si>
  <si>
    <t xml:space="preserve">Potential claim value materially exceeds premium; illustrative maximum benefit shown, not expected value.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</si>
</sst>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£#,##0.00"/>
    <numFmt numFmtId="167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EB84"/>
        </patternFill>
      </fill>
    </dxf>
    <dxf>
      <fill>
        <patternFill>
          <bgColor rgb="FF63BE7B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69.7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COUNTIF('Benefits vs Price Register'!G5:G8,A5)</f>
        <v>1</v>
      </c>
    </row>
    <row r="6" customFormat="false" ht="15" hidden="false" customHeight="false" outlineLevel="0" collapsed="false">
      <c r="A6" s="6" t="s">
        <v>13</v>
      </c>
      <c r="B6" s="7" t="n">
        <f aca="false">COUNTIF('Benefits vs Price Register'!G5:G8,A6)</f>
        <v>2</v>
      </c>
    </row>
    <row r="7" customFormat="false" ht="15" hidden="false" customHeight="false" outlineLevel="0" collapsed="false">
      <c r="A7" s="6" t="s">
        <v>14</v>
      </c>
      <c r="B7" s="7" t="n">
        <f aca="false">COUNTIF('Benefits vs Price Register'!G5:G8,A7)</f>
        <v>1</v>
      </c>
    </row>
    <row r="9" customFormat="false" ht="15" hidden="false" customHeight="false" outlineLevel="0" collapsed="false">
      <c r="A9" s="8" t="s">
        <v>15</v>
      </c>
      <c r="B9" s="8"/>
    </row>
  </sheetData>
  <mergeCells count="3">
    <mergeCell ref="A1:B1"/>
    <mergeCell ref="A2:B2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26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10</v>
      </c>
      <c r="H4" s="5" t="s">
        <v>24</v>
      </c>
    </row>
    <row r="5" customFormat="false" ht="48" hidden="false" customHeight="true" outlineLevel="0" collapsed="false">
      <c r="A5" s="9" t="s">
        <v>25</v>
      </c>
      <c r="B5" s="10" t="s">
        <v>26</v>
      </c>
      <c r="C5" s="11" t="n">
        <v>31</v>
      </c>
      <c r="D5" s="10" t="s">
        <v>27</v>
      </c>
      <c r="E5" s="11" t="n">
        <v>0</v>
      </c>
      <c r="F5" s="12" t="str">
        <f aca="false">IFERROR(IF(E5=0,"N/A",C5/E5),"")</f>
        <v>N/A</v>
      </c>
      <c r="G5" s="13" t="str">
        <f aca="false">IF(OR(F5="",F5="N/A"),"Qualitative Review",IF(F5&gt;=1,"Meets/Exceeds Price","Below Price — Justify"))</f>
        <v>Qualitative Review</v>
      </c>
      <c r="H5" s="10" t="s">
        <v>28</v>
      </c>
    </row>
    <row r="6" customFormat="false" ht="48" hidden="false" customHeight="true" outlineLevel="0" collapsed="false">
      <c r="A6" s="14" t="s">
        <v>29</v>
      </c>
      <c r="B6" s="15" t="s">
        <v>30</v>
      </c>
      <c r="C6" s="16" t="n">
        <v>0</v>
      </c>
      <c r="D6" s="15" t="s">
        <v>31</v>
      </c>
      <c r="E6" s="16" t="n">
        <v>445</v>
      </c>
      <c r="F6" s="17" t="n">
        <f aca="false">IFERROR(IF(E6=0,"N/A",C6/E6),"")</f>
        <v>0</v>
      </c>
      <c r="G6" s="18" t="str">
        <f aca="false">IF(OR(F6="",F6="N/A"),"Qualitative Review",IF(F6&gt;=1,"Meets/Exceeds Price","Below Price — Justify"))</f>
        <v>Below Price — Justify</v>
      </c>
      <c r="H6" s="15" t="s">
        <v>32</v>
      </c>
    </row>
    <row r="7" customFormat="false" ht="48" hidden="false" customHeight="true" outlineLevel="0" collapsed="false">
      <c r="A7" s="9" t="s">
        <v>33</v>
      </c>
      <c r="B7" s="10" t="s">
        <v>34</v>
      </c>
      <c r="C7" s="11" t="n">
        <v>0</v>
      </c>
      <c r="D7" s="10" t="s">
        <v>35</v>
      </c>
      <c r="E7" s="11" t="n">
        <v>45</v>
      </c>
      <c r="F7" s="12" t="n">
        <f aca="false">IFERROR(IF(E7=0,"N/A",C7/E7),"")</f>
        <v>0</v>
      </c>
      <c r="G7" s="13" t="str">
        <f aca="false">IF(OR(F7="",F7="N/A"),"Qualitative Review",IF(F7&gt;=1,"Meets/Exceeds Price","Below Price — Justify"))</f>
        <v>Below Price — Justify</v>
      </c>
      <c r="H7" s="10" t="s">
        <v>36</v>
      </c>
    </row>
    <row r="8" customFormat="false" ht="48" hidden="false" customHeight="true" outlineLevel="0" collapsed="false">
      <c r="A8" s="14" t="s">
        <v>37</v>
      </c>
      <c r="B8" s="15" t="s">
        <v>38</v>
      </c>
      <c r="C8" s="16" t="n">
        <v>500</v>
      </c>
      <c r="D8" s="15" t="s">
        <v>39</v>
      </c>
      <c r="E8" s="16" t="n">
        <v>24.99</v>
      </c>
      <c r="F8" s="17" t="n">
        <f aca="false">IFERROR(IF(E8=0,"N/A",C8/E8),"")</f>
        <v>20.0080032012805</v>
      </c>
      <c r="G8" s="18" t="str">
        <f aca="false">IF(OR(F8="",F8="N/A"),"Qualitative Review",IF(F8&gt;=1,"Meets/Exceeds Price","Below Price — Justify"))</f>
        <v>Meets/Exceeds Price</v>
      </c>
      <c r="H8" s="15" t="s">
        <v>40</v>
      </c>
    </row>
  </sheetData>
  <mergeCells count="2">
    <mergeCell ref="A1:H1"/>
    <mergeCell ref="A2:H2"/>
  </mergeCells>
  <conditionalFormatting sqref="G5:G8">
    <cfRule type="expression" priority="2" aboveAverage="0" equalAverage="0" bottom="0" percent="0" rank="0" text="" dxfId="0">
      <formula>G5="Below Price — Justify"</formula>
    </cfRule>
    <cfRule type="expression" priority="3" aboveAverage="0" equalAverage="0" bottom="0" percent="0" rank="0" text="" dxfId="1">
      <formula>G5="Meets/Exceeds Price"</formula>
    </cfRule>
    <cfRule type="expression" priority="4" aboveAverage="0" equalAverage="0" bottom="0" percent="0" rank="0" text="" dxfId="2">
      <formula>G5="Qualitative 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2026-08-05T16:11:30Z</dcterms:created>
  <dc:creator>openpyxl</dc:creator>
  <dc:description/>
  <dc:language>en-US</dc:language>
  <cp:lastModifiedBy/>
  <dcterms:modified xsi:type="dcterms:W3CDTF">2026-08-05T16:11:30Z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