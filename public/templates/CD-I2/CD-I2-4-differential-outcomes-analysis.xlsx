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Differential Outcomes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<sst xmlns="http://schemas.openxmlformats.org/spreadsheetml/2006/main" count="51" uniqueCount="46">
  <si>
    <t xml:space="preserve">CD-I2 · Differential Outcomes Analysis</t>
  </si>
  <si>
    <t xml:space="preserve">Consumer Duty Implementation — Price &amp; Value Outcome</t>
  </si>
  <si>
    <t xml:space="preserve">Purpose</t>
  </si>
  <si>
    <t xml:space="preserve">This analysis identifies and evaluates differences in price or outcomes experienced by different customer segments for the same product (e.g., new vs existing customers, digital vs branch channel), to confirm any differential pricing is justified and does not disadvantage any group of customers, in line with PRIN 2A.4.</t>
  </si>
  <si>
    <t xml:space="preserve">How to use this workbook</t>
  </si>
  <si>
    <t xml:space="preserve">1. Complete one row per product/segment combination in the Differential Outcomes Register.
2. Record the price paid or outcome experienced by each segment against a defined baseline segment.
3. The Variance % calculates automatically.
4. Select whether the differential is Justified — RAG calculates automatically.
5. Where a differential is not justified, escalate to the Gap Analysis Framework (CD-F1).</t>
  </si>
  <si>
    <t xml:space="preserve">Common sources of differential outcomes</t>
  </si>
  <si>
    <t xml:space="preserve">Loyalty penalty (existing customers paying more than new customers for the same product), channel differences (digital vs assisted), regional pricing variation, and legacy product terms not updated in line with current offerings.</t>
  </si>
  <si>
    <t xml:space="preserve">CD-I2 · Differential Outcomes Summary</t>
  </si>
  <si>
    <t xml:space="preserve">Auto-calculates from the Differential Outcomes Register</t>
  </si>
  <si>
    <t xml:space="preserve">Justified?</t>
  </si>
  <si>
    <t xml:space="preserve">Count</t>
  </si>
  <si>
    <t xml:space="preserve">Yes</t>
  </si>
  <si>
    <t xml:space="preserve">No</t>
  </si>
  <si>
    <t xml:space="preserve">Under Review</t>
  </si>
  <si>
    <t xml:space="preserve">Any differential marked 'No' (not justified) must be logged in the Gap Analysis Framework (CD-F1) with a remediation plan.</t>
  </si>
  <si>
    <t xml:space="preserve">CD-I2 · Differential Outcomes Register</t>
  </si>
  <si>
    <t xml:space="preserve">Price/outcome by customer segment vs baseline — variance calculated automatically</t>
  </si>
  <si>
    <t xml:space="preserve">Ref</t>
  </si>
  <si>
    <t xml:space="preserve">Product / Service</t>
  </si>
  <si>
    <t xml:space="preserve">Customer Segment</t>
  </si>
  <si>
    <t xml:space="preserve">Baseline
Segment</t>
  </si>
  <si>
    <t xml:space="preserve">Segment
Price/Outcome</t>
  </si>
  <si>
    <t xml:space="preserve">Baseline
Price/Outcome</t>
  </si>
  <si>
    <t xml:space="preserve">Variance %</t>
  </si>
  <si>
    <t xml:space="preserve">Rationale</t>
  </si>
  <si>
    <t xml:space="preserve">DO-01</t>
  </si>
  <si>
    <t xml:space="preserve">Instant Access Savings Account</t>
  </si>
  <si>
    <t xml:space="preserve">Existing customers (&gt;2 years)</t>
  </si>
  <si>
    <t xml:space="preserve">New customers</t>
  </si>
  <si>
    <t xml:space="preserve">Legacy 'back book' rate has not been uplifted in line with new business rate — loyalty penalty identified.</t>
  </si>
  <si>
    <t xml:space="preserve">DO-02</t>
  </si>
  <si>
    <t xml:space="preserve">Home Insurance</t>
  </si>
  <si>
    <t xml:space="preserve">Auto-renewal customers</t>
  </si>
  <si>
    <t xml:space="preserve">New customers (price comparison site)</t>
  </si>
  <si>
    <t xml:space="preserve">Renewal pricing structurally higher than new business acquisition pricing — under FCA general insurance pricing rules this requires remediation.</t>
  </si>
  <si>
    <t xml:space="preserve">DO-03</t>
  </si>
  <si>
    <t xml:space="preserve">Fixed Term Personal Loan</t>
  </si>
  <si>
    <t xml:space="preserve">Digital channel</t>
  </si>
  <si>
    <t xml:space="preserve">Branch-assisted channel</t>
  </si>
  <si>
    <t xml:space="preserve">Same rate card applies regardless of channel; no differential identified.</t>
  </si>
  <si>
    <t xml:space="preserve">DO-04</t>
  </si>
  <si>
    <t xml:space="preserve">Stocks &amp; Shares ISA</t>
  </si>
  <si>
    <t xml:space="preserve">Assisted/advised customers</t>
  </si>
  <si>
    <t xml:space="preserve">Direct/execution-only customers</t>
  </si>
  <si>
    <t xml:space="preserve">Higher fee reflects genuinely higher cost-to-serve and additional advice service; differential considered justified and proportionate.</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</si>
</sst>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0.0%"/>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COUNTIF('Differential Outcomes Register'!H5:H8,A5)</f>
        <v>2</v>
      </c>
    </row>
    <row r="6" customFormat="false" ht="15" hidden="false" customHeight="false" outlineLevel="0" collapsed="false">
      <c r="A6" s="6" t="s">
        <v>13</v>
      </c>
      <c r="B6" s="7" t="n">
        <f aca="false">COUNTIF('Differential Outcomes Register'!H5:H8,A6)</f>
        <v>2</v>
      </c>
    </row>
    <row r="7" customFormat="false" ht="15" hidden="false" customHeight="false" outlineLevel="0" collapsed="false">
      <c r="A7" s="6" t="s">
        <v>14</v>
      </c>
      <c r="B7" s="7" t="n">
        <f aca="false">COUNTIF('Differential Outcomes Register'!H5:H8,A7)</f>
        <v>0</v>
      </c>
    </row>
    <row r="9" customFormat="false" ht="15" hidden="false" customHeight="false" outlineLevel="0" collapsed="false">
      <c r="A9" s="8" t="s">
        <v>15</v>
      </c>
      <c r="B9" s="8"/>
    </row>
  </sheetData>
  <mergeCells count="3">
    <mergeCell ref="A1:B1"/>
    <mergeCell ref="A2:B2"/>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20"/>
    <col collapsed="false" customWidth="true" hidden="false" outlineLevel="0" max="5" min="4" style="0" width="16"/>
    <col collapsed="false" customWidth="true" hidden="false" outlineLevel="0" max="8" min="6" style="0" width="14"/>
    <col collapsed="false" customWidth="true" hidden="false" outlineLevel="0" max="9" min="9" style="0" width="26"/>
  </cols>
  <sheetData>
    <row r="1" customFormat="false" ht="27.75" hidden="false" customHeight="true" outlineLevel="0" collapsed="false">
      <c r="A1" s="1" t="s">
        <v>16</v>
      </c>
      <c r="B1" s="1"/>
      <c r="C1" s="1"/>
      <c r="D1" s="1"/>
      <c r="E1" s="1"/>
      <c r="F1" s="1"/>
      <c r="G1" s="1"/>
      <c r="H1" s="1"/>
      <c r="I1" s="1"/>
    </row>
    <row r="2" customFormat="false" ht="19.5" hidden="false" customHeight="true" outlineLevel="0" collapsed="false">
      <c r="A2" s="2" t="s">
        <v>17</v>
      </c>
      <c r="B2" s="2"/>
      <c r="C2" s="2"/>
      <c r="D2" s="2"/>
      <c r="E2" s="2"/>
      <c r="F2" s="2"/>
      <c r="G2" s="2"/>
      <c r="H2" s="2"/>
      <c r="I2" s="2"/>
    </row>
    <row r="4" customFormat="false" ht="30" hidden="false" customHeight="true" outlineLevel="0" collapsed="false">
      <c r="A4" s="5" t="s">
        <v>18</v>
      </c>
      <c r="B4" s="5" t="s">
        <v>19</v>
      </c>
      <c r="C4" s="5" t="s">
        <v>20</v>
      </c>
      <c r="D4" s="5" t="s">
        <v>21</v>
      </c>
      <c r="E4" s="5" t="s">
        <v>22</v>
      </c>
      <c r="F4" s="5" t="s">
        <v>23</v>
      </c>
      <c r="G4" s="5" t="s">
        <v>24</v>
      </c>
      <c r="H4" s="5" t="s">
        <v>10</v>
      </c>
      <c r="I4" s="5" t="s">
        <v>25</v>
      </c>
    </row>
    <row r="5" customFormat="false" ht="43.5" hidden="false" customHeight="true" outlineLevel="0" collapsed="false">
      <c r="A5" s="9" t="s">
        <v>26</v>
      </c>
      <c r="B5" s="10" t="s">
        <v>27</v>
      </c>
      <c r="C5" s="10" t="s">
        <v>28</v>
      </c>
      <c r="D5" s="10" t="s">
        <v>29</v>
      </c>
      <c r="E5" s="11" t="n">
        <v>1.85</v>
      </c>
      <c r="F5" s="11" t="n">
        <v>3.1</v>
      </c>
      <c r="G5" s="12" t="n">
        <f aca="false">IFERROR((E5-F5)/F5,"")</f>
        <v>-0.403225806451613</v>
      </c>
      <c r="H5" s="13" t="s">
        <v>13</v>
      </c>
      <c r="I5" s="10" t="s">
        <v>30</v>
      </c>
    </row>
    <row r="6" customFormat="false" ht="43.5" hidden="false" customHeight="true" outlineLevel="0" collapsed="false">
      <c r="A6" s="14" t="s">
        <v>31</v>
      </c>
      <c r="B6" s="15" t="s">
        <v>32</v>
      </c>
      <c r="C6" s="15" t="s">
        <v>33</v>
      </c>
      <c r="D6" s="15" t="s">
        <v>34</v>
      </c>
      <c r="E6" s="16" t="n">
        <v>410</v>
      </c>
      <c r="F6" s="16" t="n">
        <v>340</v>
      </c>
      <c r="G6" s="17" t="n">
        <f aca="false">IFERROR((E6-F6)/F6,"")</f>
        <v>0.205882352941176</v>
      </c>
      <c r="H6" s="18" t="s">
        <v>13</v>
      </c>
      <c r="I6" s="15" t="s">
        <v>35</v>
      </c>
    </row>
    <row r="7" customFormat="false" ht="43.5" hidden="false" customHeight="true" outlineLevel="0" collapsed="false">
      <c r="A7" s="9" t="s">
        <v>36</v>
      </c>
      <c r="B7" s="10" t="s">
        <v>37</v>
      </c>
      <c r="C7" s="10" t="s">
        <v>38</v>
      </c>
      <c r="D7" s="10" t="s">
        <v>39</v>
      </c>
      <c r="E7" s="11" t="n">
        <v>7.9</v>
      </c>
      <c r="F7" s="11" t="n">
        <v>7.9</v>
      </c>
      <c r="G7" s="12" t="n">
        <f aca="false">IFERROR((E7-F7)/F7,"")</f>
        <v>0</v>
      </c>
      <c r="H7" s="13" t="s">
        <v>12</v>
      </c>
      <c r="I7" s="10" t="s">
        <v>40</v>
      </c>
    </row>
    <row r="8" customFormat="false" ht="43.5" hidden="false" customHeight="true" outlineLevel="0" collapsed="false">
      <c r="A8" s="14" t="s">
        <v>41</v>
      </c>
      <c r="B8" s="15" t="s">
        <v>42</v>
      </c>
      <c r="C8" s="15" t="s">
        <v>43</v>
      </c>
      <c r="D8" s="15" t="s">
        <v>44</v>
      </c>
      <c r="E8" s="16" t="n">
        <v>0.75</v>
      </c>
      <c r="F8" s="16" t="n">
        <v>0.45</v>
      </c>
      <c r="G8" s="17" t="n">
        <f aca="false">IFERROR((E8-F8)/F8,"")</f>
        <v>0.666666666666667</v>
      </c>
      <c r="H8" s="18" t="s">
        <v>12</v>
      </c>
      <c r="I8" s="15" t="s">
        <v>45</v>
      </c>
    </row>
  </sheetData>
  <mergeCells count="2">
    <mergeCell ref="A1:I1"/>
    <mergeCell ref="A2:I2"/>
  </mergeCells>
  <conditionalFormatting sqref="H5:H8">
    <cfRule type="expression" priority="2" aboveAverage="0" equalAverage="0" bottom="0" percent="0" rank="0" text="" dxfId="0">
      <formula>H5="No"</formula>
    </cfRule>
    <cfRule type="expression" priority="3" aboveAverage="0" equalAverage="0" bottom="0" percent="0" rank="0" text="" dxfId="1">
      <formula>H5="Under Review"</formula>
    </cfRule>
    <cfRule type="expression" priority="4" aboveAverage="0" equalAverage="0" bottom="0" percent="0" rank="0" text="" dxfId="2">
      <formula>H5="Yes"</formula>
    </cfRule>
  </conditionalFormatting>
  <dataValidations count="1">
    <dataValidation allowBlank="true" errorStyle="stop" operator="between" showDropDown="false" showErrorMessage="false" showInputMessage="false" sqref="H5:H8" type="list">
      <formula1>"Yes,No,Under Review"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2026-08-05T20:33:07Z</dcterms:created>
  <dc:creator>openpyxl</dc:creator>
  <dc:description/>
  <dc:language>en-US</dc:language>
  <cp:lastModifiedBy/>
  <dcterms:modified xsi:type="dcterms:W3CDTF">2026-08-05T20:33:07Z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