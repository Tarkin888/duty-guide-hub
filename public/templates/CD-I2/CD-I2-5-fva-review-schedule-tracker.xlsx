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FVA Schedu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<sst xmlns="http://schemas.openxmlformats.org/spreadsheetml/2006/main" count="52" uniqueCount="46">
  <si>
    <t xml:space="preserve">CD-I2 · FVA Review Schedule &amp; Tracker</t>
  </si>
  <si>
    <t xml:space="preserve">Consumer Duty Implementation — Price &amp; Value Outcome</t>
  </si>
  <si>
    <t xml:space="preserve">Purpose</t>
  </si>
  <si>
    <t xml:space="preserve">This tracker schedules and monitors Fair Value Assessments across the product suite on a risk-based cycle, ensuring no product's FVA becomes overdue and providing an auditable record for governance and regulatory review, per the Fair Value Assessment Framework (CD-I2).</t>
  </si>
  <si>
    <t xml:space="preserve">How to use this workbook</t>
  </si>
  <si>
    <t xml:space="preserve">1. Complete one row per product in the FVA Schedule.
2. Select the Risk Category — this determines the default Review Frequency.
3. Enter the Last FVA Date; the Next FVA Due date and Days Remaining calculate automatically.
4. RAG status calculates automatically based on how close the product is to its due date.
5. Update the Status column as each review is completed.</t>
  </si>
  <si>
    <t xml:space="preserve">Review frequency by risk category</t>
  </si>
  <si>
    <t xml:space="preserve">High Risk — 12 months.
Medium Risk — 18 months.
Low Risk — 36 months.
RAG thresholds: Red = overdue or due within 30 days; Amber = due within 90 days; Green = more than 90 days until due.</t>
  </si>
  <si>
    <t xml:space="preserve">CD-I2 · FVA Schedule Summary</t>
  </si>
  <si>
    <t xml:space="preserve">Auto-calculates from the FVA Schedule</t>
  </si>
  <si>
    <t xml:space="preserve">RAG Status</t>
  </si>
  <si>
    <t xml:space="preserve">Count</t>
  </si>
  <si>
    <t xml:space="preserve">Red</t>
  </si>
  <si>
    <t xml:space="preserve">Amber</t>
  </si>
  <si>
    <t xml:space="preserve">Green</t>
  </si>
  <si>
    <t xml:space="preserve">Products showing Red should be prioritised immediately and reported to the Product Governance Committee.</t>
  </si>
  <si>
    <t xml:space="preserve">Next due date and RAG calculate automatically from risk category and last review date</t>
  </si>
  <si>
    <t xml:space="preserve">Ref</t>
  </si>
  <si>
    <t xml:space="preserve">Product / Service</t>
  </si>
  <si>
    <t xml:space="preserve">Risk
Category</t>
  </si>
  <si>
    <t xml:space="preserve">Review
Frequency
(months)</t>
  </si>
  <si>
    <t xml:space="preserve">Last FVA
Date</t>
  </si>
  <si>
    <t xml:space="preserve">Next FVA
Due</t>
  </si>
  <si>
    <t xml:space="preserve">Days
Remaining</t>
  </si>
  <si>
    <t xml:space="preserve">Status</t>
  </si>
  <si>
    <t xml:space="preserve">RAG</t>
  </si>
  <si>
    <t xml:space="preserve">FVA-01</t>
  </si>
  <si>
    <t xml:space="preserve">Instant Access Savings Account</t>
  </si>
  <si>
    <t xml:space="preserve">Medium</t>
  </si>
  <si>
    <t xml:space="preserve">2025-09-15</t>
  </si>
  <si>
    <t xml:space="preserve">Complete</t>
  </si>
  <si>
    <t xml:space="preserve">FVA-02</t>
  </si>
  <si>
    <t xml:space="preserve">Fixed Term Personal Loan</t>
  </si>
  <si>
    <t xml:space="preserve">High</t>
  </si>
  <si>
    <t xml:space="preserve">2025-11-01</t>
  </si>
  <si>
    <t xml:space="preserve">FVA-03</t>
  </si>
  <si>
    <t xml:space="preserve">Stocks &amp; Shares ISA</t>
  </si>
  <si>
    <t xml:space="preserve">2025-02-10</t>
  </si>
  <si>
    <t xml:space="preserve">Overdue</t>
  </si>
  <si>
    <t xml:space="preserve">FVA-04</t>
  </si>
  <si>
    <t xml:space="preserve">Travel Insurance (Single Trip)</t>
  </si>
  <si>
    <t xml:space="preserve">2025-12-01</t>
  </si>
  <si>
    <t xml:space="preserve">In Progress</t>
  </si>
  <si>
    <t xml:space="preserve">FVA-05</t>
  </si>
  <si>
    <t xml:space="preserve">Home Insurance</t>
  </si>
  <si>
    <t xml:space="preserve">2025-06-20</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</si>
</sst>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69.75" hidden="false" customHeight="true" outlineLevel="0" collapsed="false">
      <c r="A8" s="4" t="s">
        <v>5</v>
      </c>
      <c r="B8" s="4"/>
    </row>
    <row r="10" customFormat="false" ht="15" hidden="false" customHeight="false" outlineLevel="0" collapsed="false">
      <c r="A10" s="3" t="s">
        <v>6</v>
      </c>
      <c r="B10" s="3"/>
    </row>
    <row r="11" customFormat="false" ht="55.5"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COUNTIF('FVA Schedule'!I5:I9,A5)</f>
        <v>1</v>
      </c>
    </row>
    <row r="6" customFormat="false" ht="15" hidden="false" customHeight="false" outlineLevel="0" collapsed="false">
      <c r="A6" s="6" t="s">
        <v>13</v>
      </c>
      <c r="B6" s="7" t="n">
        <f aca="false">COUNTIF('FVA Schedule'!I5:I9,A6)</f>
        <v>0</v>
      </c>
    </row>
    <row r="7" customFormat="false" ht="15" hidden="false" customHeight="false" outlineLevel="0" collapsed="false">
      <c r="A7" s="6" t="s">
        <v>14</v>
      </c>
      <c r="B7" s="7" t="n">
        <f aca="false">COUNTIF('FVA Schedule'!I5:I9,A7)</f>
        <v>4</v>
      </c>
    </row>
    <row r="9" customFormat="false" ht="15" hidden="false" customHeight="false" outlineLevel="0" collapsed="false">
      <c r="A9" s="8" t="s">
        <v>15</v>
      </c>
      <c r="B9" s="8"/>
    </row>
  </sheetData>
  <mergeCells count="3">
    <mergeCell ref="A1:B1"/>
    <mergeCell ref="A2:B2"/>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4" min="3" style="0" width="14"/>
    <col collapsed="false" customWidth="true" hidden="false" outlineLevel="0" max="6" min="5" style="0" width="16"/>
    <col collapsed="false" customWidth="true" hidden="false" outlineLevel="0" max="9" min="7" style="0" width="14"/>
  </cols>
  <sheetData>
    <row r="1" customFormat="false" ht="27.75" hidden="false" customHeight="true" outlineLevel="0" collapsed="false">
      <c r="A1" s="1" t="s">
        <v>0</v>
      </c>
      <c r="B1" s="1"/>
      <c r="C1" s="1"/>
      <c r="D1" s="1"/>
      <c r="E1" s="1"/>
      <c r="F1" s="1"/>
      <c r="G1" s="1"/>
      <c r="H1" s="1"/>
      <c r="I1" s="1"/>
    </row>
    <row r="2" customFormat="false" ht="19.5" hidden="false" customHeight="true" outlineLevel="0" collapsed="false">
      <c r="A2" s="2" t="s">
        <v>16</v>
      </c>
      <c r="B2" s="2"/>
      <c r="C2" s="2"/>
      <c r="D2" s="2"/>
      <c r="E2" s="2"/>
      <c r="F2" s="2"/>
      <c r="G2" s="2"/>
      <c r="H2" s="2"/>
      <c r="I2" s="2"/>
    </row>
    <row r="4" customFormat="false" ht="33.75" hidden="false" customHeight="true" outlineLevel="0" collapsed="false">
      <c r="A4" s="5" t="s">
        <v>17</v>
      </c>
      <c r="B4" s="5" t="s">
        <v>18</v>
      </c>
      <c r="C4" s="5" t="s">
        <v>19</v>
      </c>
      <c r="D4" s="5" t="s">
        <v>20</v>
      </c>
      <c r="E4" s="5" t="s">
        <v>21</v>
      </c>
      <c r="F4" s="5" t="s">
        <v>22</v>
      </c>
      <c r="G4" s="5" t="s">
        <v>23</v>
      </c>
      <c r="H4" s="5" t="s">
        <v>24</v>
      </c>
      <c r="I4" s="5" t="s">
        <v>25</v>
      </c>
    </row>
    <row r="5" customFormat="false" ht="31.5" hidden="false" customHeight="true" outlineLevel="0" collapsed="false">
      <c r="A5" s="9" t="s">
        <v>26</v>
      </c>
      <c r="B5" s="10" t="s">
        <v>27</v>
      </c>
      <c r="C5" s="11" t="s">
        <v>28</v>
      </c>
      <c r="D5" s="9" t="n">
        <f aca="false">IF(C5="","",IF(C5="High",12,IF(C5="Medium",18,36)))</f>
        <v>18</v>
      </c>
      <c r="E5" s="12" t="s">
        <v>29</v>
      </c>
      <c r="F5" s="13" t="n">
        <f aca="false">IF(OR(E5="",D5=""),"",EDATE(E5,D5))</f>
        <v>46461</v>
      </c>
      <c r="G5" s="9" t="n">
        <f aca="true">IF(F5="","",F5-TODAY())</f>
        <v>222</v>
      </c>
      <c r="H5" s="11" t="s">
        <v>30</v>
      </c>
      <c r="I5" s="14" t="str">
        <f aca="false">IF(H5="Complete","Green",IF(OR(G5="",F5=""),"",IF(G5&lt;=30,"Red",IF(G5&lt;=90,"Amber","Green"))))</f>
        <v>Green</v>
      </c>
    </row>
    <row r="6" customFormat="false" ht="31.5" hidden="false" customHeight="true" outlineLevel="0" collapsed="false">
      <c r="A6" s="15" t="s">
        <v>31</v>
      </c>
      <c r="B6" s="16" t="s">
        <v>32</v>
      </c>
      <c r="C6" s="17" t="s">
        <v>33</v>
      </c>
      <c r="D6" s="15" t="n">
        <f aca="false">IF(C6="","",IF(C6="High",12,IF(C6="Medium",18,36)))</f>
        <v>12</v>
      </c>
      <c r="E6" s="18" t="s">
        <v>34</v>
      </c>
      <c r="F6" s="19" t="n">
        <f aca="false">IF(OR(E6="",D6=""),"",EDATE(E6,D6))</f>
        <v>46327</v>
      </c>
      <c r="G6" s="15" t="n">
        <f aca="true">IF(F6="","",F6-TODAY())</f>
        <v>88</v>
      </c>
      <c r="H6" s="17" t="s">
        <v>30</v>
      </c>
      <c r="I6" s="20" t="str">
        <f aca="false">IF(H6="Complete","Green",IF(OR(G6="",F6=""),"",IF(G6&lt;=30,"Red",IF(G6&lt;=90,"Amber","Green"))))</f>
        <v>Green</v>
      </c>
    </row>
    <row r="7" customFormat="false" ht="31.5" hidden="false" customHeight="true" outlineLevel="0" collapsed="false">
      <c r="A7" s="9" t="s">
        <v>35</v>
      </c>
      <c r="B7" s="10" t="s">
        <v>36</v>
      </c>
      <c r="C7" s="11" t="s">
        <v>33</v>
      </c>
      <c r="D7" s="9" t="n">
        <f aca="false">IF(C7="","",IF(C7="High",12,IF(C7="Medium",18,36)))</f>
        <v>12</v>
      </c>
      <c r="E7" s="12" t="s">
        <v>37</v>
      </c>
      <c r="F7" s="13" t="n">
        <f aca="false">IF(OR(E7="",D7=""),"",EDATE(E7,D7))</f>
        <v>46063</v>
      </c>
      <c r="G7" s="9" t="n">
        <f aca="true">IF(F7="","",F7-TODAY())</f>
        <v>-176</v>
      </c>
      <c r="H7" s="11" t="s">
        <v>38</v>
      </c>
      <c r="I7" s="14" t="str">
        <f aca="false">IF(H7="Complete","Green",IF(OR(G7="",F7=""),"",IF(G7&lt;=30,"Red",IF(G7&lt;=90,"Amber","Green"))))</f>
        <v>Red</v>
      </c>
    </row>
    <row r="8" customFormat="false" ht="31.5" hidden="false" customHeight="true" outlineLevel="0" collapsed="false">
      <c r="A8" s="15" t="s">
        <v>39</v>
      </c>
      <c r="B8" s="16" t="s">
        <v>40</v>
      </c>
      <c r="C8" s="17" t="s">
        <v>33</v>
      </c>
      <c r="D8" s="15" t="n">
        <f aca="false">IF(C8="","",IF(C8="High",12,IF(C8="Medium",18,36)))</f>
        <v>12</v>
      </c>
      <c r="E8" s="18" t="s">
        <v>41</v>
      </c>
      <c r="F8" s="19" t="n">
        <f aca="false">IF(OR(E8="",D8=""),"",EDATE(E8,D8))</f>
        <v>46357</v>
      </c>
      <c r="G8" s="15" t="n">
        <f aca="true">IF(F8="","",F8-TODAY())</f>
        <v>118</v>
      </c>
      <c r="H8" s="17" t="s">
        <v>42</v>
      </c>
      <c r="I8" s="20" t="str">
        <f aca="false">IF(H8="Complete","Green",IF(OR(G8="",F8=""),"",IF(G8&lt;=30,"Red",IF(G8&lt;=90,"Amber","Green"))))</f>
        <v>Green</v>
      </c>
    </row>
    <row r="9" customFormat="false" ht="31.5" hidden="false" customHeight="true" outlineLevel="0" collapsed="false">
      <c r="A9" s="9" t="s">
        <v>43</v>
      </c>
      <c r="B9" s="10" t="s">
        <v>44</v>
      </c>
      <c r="C9" s="11" t="s">
        <v>28</v>
      </c>
      <c r="D9" s="9" t="n">
        <f aca="false">IF(C9="","",IF(C9="High",12,IF(C9="Medium",18,36)))</f>
        <v>18</v>
      </c>
      <c r="E9" s="12" t="s">
        <v>45</v>
      </c>
      <c r="F9" s="13" t="n">
        <f aca="false">IF(OR(E9="",D9=""),"",EDATE(E9,D9))</f>
        <v>46376</v>
      </c>
      <c r="G9" s="9" t="n">
        <f aca="true">IF(F9="","",F9-TODAY())</f>
        <v>137</v>
      </c>
      <c r="H9" s="11" t="s">
        <v>30</v>
      </c>
      <c r="I9" s="14" t="str">
        <f aca="false">IF(H9="Complete","Green",IF(OR(G9="",F9=""),"",IF(G9&lt;=30,"Red",IF(G9&lt;=90,"Amber","Green"))))</f>
        <v>Green</v>
      </c>
    </row>
  </sheetData>
  <mergeCells count="2">
    <mergeCell ref="A1:I1"/>
    <mergeCell ref="A2:I2"/>
  </mergeCells>
  <conditionalFormatting sqref="I5:I9">
    <cfRule type="expression" priority="2" aboveAverage="0" equalAverage="0" bottom="0" percent="0" rank="0" text="" dxfId="0">
      <formula>I5="Red"</formula>
    </cfRule>
    <cfRule type="expression" priority="3" aboveAverage="0" equalAverage="0" bottom="0" percent="0" rank="0" text="" dxfId="1">
      <formula>I5="Amber"</formula>
    </cfRule>
    <cfRule type="expression" priority="4" aboveAverage="0" equalAverage="0" bottom="0" percent="0" rank="0" text="" dxfId="2">
      <formula>I5="Green"</formula>
    </cfRule>
  </conditionalFormatting>
  <dataValidations count="2">
    <dataValidation allowBlank="true" errorStyle="stop" operator="between" showDropDown="false" showErrorMessage="false" showInputMessage="false" sqref="C5:C9" type="list">
      <formula1>"High,Medium,Low"</formula1>
      <formula2>0</formula2>
    </dataValidation>
    <dataValidation allowBlank="true" errorStyle="stop" operator="between" showDropDown="false" showErrorMessage="false" showInputMessage="false" sqref="H5:H9" type="list">
      <formula1>"Complete,In Progress,Not Started,Overdue"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2026-08-05T20:33:38Z</dcterms:created>
  <dc:creator>openpyxl</dc:creator>
  <dc:description/>
  <dc:language>en-US</dc:language>
  <cp:lastModifiedBy/>
  <dcterms:modified xsi:type="dcterms:W3CDTF">2026-08-05T20:33:38Z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