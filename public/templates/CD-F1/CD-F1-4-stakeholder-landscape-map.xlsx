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Summary" sheetId="2" state="visible" r:id="rId4"/>
    <sheet name="Stakeholder Register" sheetId="3" state="visible" r:id="rId5"/>
    <sheet name="Power-Interest Grid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<sst xmlns="http://schemas.openxmlformats.org/spreadsheetml/2006/main" count="90" uniqueCount="72">
  <si>
    <t xml:space="preserve">CD-F1 · Stakeholder Landscape Map</t>
  </si>
  <si>
    <t xml:space="preserve">Consumer Duty Implementation — Foundation Phase</t>
  </si>
  <si>
    <t xml:space="preserve">Purpose</t>
  </si>
  <si>
    <t xml:space="preserve">This template identifies and maps the internal and external stakeholders relevant to the Consumer Duty programme, so that engagement effort is targeted appropriately using a Power/Interest grid.</t>
  </si>
  <si>
    <t xml:space="preserve">How to use this workbook</t>
  </si>
  <si>
    <t xml:space="preserve">1. List every relevant stakeholder or stakeholder group in the Stakeholder Register.
2. Score Power and Interest from 1 (Low) to 5 (High) using the drop-downs.
3. The Quadrant and Engagement Strategy columns calculate automatically from these scores.
4. Review the Power/Interest Grid tab, which plots every stakeholder automatically from the register.
5. Use the Summary tab to check coverage across internal, regulatory, and customer-facing groups.</t>
  </si>
  <si>
    <t xml:space="preserve">Quadrant guide</t>
  </si>
  <si>
    <t xml:space="preserve">Manage Closely (high power, high interest) — Board, Senior Management Function holders, FCA.
Keep Satisfied (high power, low interest) — Non-executive directors, external auditors.
Keep Informed (low power, high interest) — Front-line staff, customer advocacy groups.
Monitor (low power, low interest) — General suppliers, peripheral third parties.</t>
  </si>
  <si>
    <t xml:space="preserve">CD-F1 · Stakeholder Summary</t>
  </si>
  <si>
    <t xml:space="preserve">Coverage by category and quadrant — auto-calculates from the register</t>
  </si>
  <si>
    <t xml:space="preserve">By Category</t>
  </si>
  <si>
    <t xml:space="preserve">Category</t>
  </si>
  <si>
    <t xml:space="preserve">Count</t>
  </si>
  <si>
    <t xml:space="preserve">Regulator</t>
  </si>
  <si>
    <t xml:space="preserve">Board/Governance</t>
  </si>
  <si>
    <t xml:space="preserve">Internal - First Line</t>
  </si>
  <si>
    <t xml:space="preserve">Internal - Second Line</t>
  </si>
  <si>
    <t xml:space="preserve">Internal - Third Line</t>
  </si>
  <si>
    <t xml:space="preserve">Customer</t>
  </si>
  <si>
    <t xml:space="preserve">Third Party/Supplier</t>
  </si>
  <si>
    <t xml:space="preserve">Other External</t>
  </si>
  <si>
    <t xml:space="preserve">By Quadrant</t>
  </si>
  <si>
    <t xml:space="preserve">Quadrant</t>
  </si>
  <si>
    <t xml:space="preserve">Manage Closely</t>
  </si>
  <si>
    <t xml:space="preserve">Keep Satisfied</t>
  </si>
  <si>
    <t xml:space="preserve">Keep Informed</t>
  </si>
  <si>
    <t xml:space="preserve">Monitor</t>
  </si>
  <si>
    <t xml:space="preserve">Stakeholders in 'Manage Closely' should be prioritised in the Consumer Duty Communications Plan (CD-T2).</t>
  </si>
  <si>
    <t xml:space="preserve">CD-F1 · Stakeholder Register</t>
  </si>
  <si>
    <t xml:space="preserve">Score Power and Interest 1 (Low) to 5 (High) — Quadrant and Strategy calculate automatically</t>
  </si>
  <si>
    <t xml:space="preserve">Ref</t>
  </si>
  <si>
    <t xml:space="preserve">Stakeholder / Group</t>
  </si>
  <si>
    <t xml:space="preserve">Power
(1-5)</t>
  </si>
  <si>
    <t xml:space="preserve">Interest
(1-5)</t>
  </si>
  <si>
    <t xml:space="preserve">Engagement Strategy</t>
  </si>
  <si>
    <t xml:space="preserve">Owner</t>
  </si>
  <si>
    <t xml:space="preserve">SH-01</t>
  </si>
  <si>
    <t xml:space="preserve">Financial Conduct Authority (FCA)</t>
  </si>
  <si>
    <t xml:space="preserve">SH-02</t>
  </si>
  <si>
    <t xml:space="preserve">Board of Directors</t>
  </si>
  <si>
    <t xml:space="preserve">SH-03</t>
  </si>
  <si>
    <t xml:space="preserve">Consumer Duty Oversight Committee</t>
  </si>
  <si>
    <t xml:space="preserve">SH-04</t>
  </si>
  <si>
    <t xml:space="preserve">Senior Management Function (SMF) Holders</t>
  </si>
  <si>
    <t xml:space="preserve">SH-05</t>
  </si>
  <si>
    <t xml:space="preserve">Compliance Function</t>
  </si>
  <si>
    <t xml:space="preserve">SH-06</t>
  </si>
  <si>
    <t xml:space="preserve">Risk Function</t>
  </si>
  <si>
    <t xml:space="preserve">SH-07</t>
  </si>
  <si>
    <t xml:space="preserve">Internal Audit</t>
  </si>
  <si>
    <t xml:space="preserve">SH-08</t>
  </si>
  <si>
    <t xml:space="preserve">Product &amp; Proposition Teams</t>
  </si>
  <si>
    <t xml:space="preserve">SH-09</t>
  </si>
  <si>
    <t xml:space="preserve">Customer Service / Operations</t>
  </si>
  <si>
    <t xml:space="preserve">SH-10</t>
  </si>
  <si>
    <t xml:space="preserve">Marketing &amp; Communications</t>
  </si>
  <si>
    <t xml:space="preserve">SH-11</t>
  </si>
  <si>
    <t xml:space="preserve">External Auditors</t>
  </si>
  <si>
    <t xml:space="preserve">SH-12</t>
  </si>
  <si>
    <t xml:space="preserve">Distribution Partners</t>
  </si>
  <si>
    <t xml:space="preserve">SH-13</t>
  </si>
  <si>
    <t xml:space="preserve">Customers (Retail)</t>
  </si>
  <si>
    <t xml:space="preserve">SH-14</t>
  </si>
  <si>
    <t xml:space="preserve">Vulnerable Customer Advocacy Groups</t>
  </si>
  <si>
    <t xml:space="preserve">SH-15</t>
  </si>
  <si>
    <t xml:space="preserve">Trade Body / Industry Forum</t>
  </si>
  <si>
    <t xml:space="preserve">CD-F1 · Power / Interest Grid</t>
  </si>
  <si>
    <t xml:space="preserve">Auto-plots every stakeholder from the register — Power (Y axis) vs Interest (X axis)</t>
  </si>
  <si>
    <t xml:space="preserve">Stakeholder</t>
  </si>
  <si>
    <t xml:space="preserve">Interest (X)</t>
  </si>
  <si>
    <t xml:space="preserve">Power (Y)</t>
  </si>
  <si>
    <t xml:space="preserve">Grid quadrants (informal): bottom-left = Monitor · bottom-right = Keep Informed · top-left = Keep Satisfied · top-right = Manage Closely.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</si>
</sst>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C8A"/>
        <bgColor rgb="FF59595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>
          <bgColor rgb="FFF8696B"/>
        </patternFill>
      </fill>
    </dxf>
    <dxf>
      <fill>
        <patternFill>
          <bgColor rgb="FFFFEB84"/>
        </patternFill>
      </fill>
    </dxf>
    <dxf>
      <fill>
        <patternFill>
          <bgColor rgb="FFBDD7EE"/>
        </patternFill>
      </fill>
    </dxf>
    <dxf>
      <fill>
        <patternFill>
          <bgColor rgb="FF63BE7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CCFFFF"/>
      <rgbColor rgb="FF660066"/>
      <rgbColor rgb="FFF8696B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EB84"/>
      <rgbColor rgb="FF99CCFF"/>
      <rgbColor rgb="FFFF99CC"/>
      <rgbColor rgb="FFCC99FF"/>
      <rgbColor rgb="FFFFCC99"/>
      <rgbColor rgb="FF3366FF"/>
      <rgbColor rgb="FF63BE7B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Stakeholder Power / Interest Grid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"Stakeholders"</c:f>
              <c:strCache>
                <c:ptCount val="1"/>
                <c:pt idx="0">
                  <c:v>Stakeholders</c:v>
                </c:pt>
              </c:strCache>
            </c:strRef>
          </c:tx>
          <c:spPr>
            <a:solidFill>
              <a:srgbClr val="1f3864"/>
            </a:solidFill>
            <a:ln w="28440">
              <a:noFill/>
            </a:ln>
          </c:spPr>
          <c:marker>
            <c:symbol val="circle"/>
            <c:size val="8"/>
            <c:spPr>
              <a:solidFill>
                <a:srgbClr val="1f386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'Power-Interest Grid'!$B$5:$B$19</c:f>
              <c:numCache>
                <c:formatCode>General</c:formatCode>
                <c:ptCount val="15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4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  <c:pt idx="12">
                  <c:v>5</c:v>
                </c:pt>
                <c:pt idx="13">
                  <c:v>4</c:v>
                </c:pt>
                <c:pt idx="14">
                  <c:v>2</c:v>
                </c:pt>
              </c:numCache>
            </c:numRef>
          </c:xVal>
          <c:yVal>
            <c:numRef>
              <c:f>'Power-Interest Grid'!$C$5:$C$19</c:f>
              <c:numCache>
                <c:formatCode>General</c:formatCode>
                <c:ptCount val="15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4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</c:numCache>
            </c:numRef>
          </c:yVal>
          <c:smooth val="1"/>
        </c:ser>
        <c:axId val="62532516"/>
        <c:axId val="88996332"/>
      </c:scatterChart>
      <c:valAx>
        <c:axId val="62532516"/>
        <c:scaling>
          <c:orientation val="minMax"/>
          <c:max val="6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Interest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996332"/>
        <c:crosses val="autoZero"/>
        <c:crossBetween val="midCat"/>
      </c:valAx>
      <c:valAx>
        <c:axId val="88996332"/>
        <c:scaling>
          <c:orientation val="minMax"/>
          <c:max val="6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Power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53251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581400</xdr:colOff>
      <xdr:row>25</xdr:row>
      <xdr:rowOff>128520</xdr:rowOff>
    </xdr:to>
    <xdr:graphicFrame>
      <xdr:nvGraphicFramePr>
        <xdr:cNvPr id="0" name="Chart 1"/>
        <xdr:cNvGraphicFramePr/>
      </xdr:nvGraphicFramePr>
      <xdr:xfrm>
        <a:off x="4417560" y="79056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 t="s">
        <v>2</v>
      </c>
      <c r="B4" s="3"/>
    </row>
    <row r="5" customFormat="false" ht="18" hidden="false" customHeight="true" outlineLevel="0" collapsed="false">
      <c r="A5" s="4" t="s">
        <v>3</v>
      </c>
      <c r="B5" s="4"/>
    </row>
    <row r="7" customFormat="false" ht="15" hidden="false" customHeight="false" outlineLevel="0" collapsed="false">
      <c r="A7" s="3" t="s">
        <v>4</v>
      </c>
      <c r="B7" s="3"/>
    </row>
    <row r="8" customFormat="false" ht="69.75" hidden="false" customHeight="true" outlineLevel="0" collapsed="false">
      <c r="A8" s="4" t="s">
        <v>5</v>
      </c>
      <c r="B8" s="4"/>
    </row>
    <row r="10" customFormat="false" ht="15" hidden="false" customHeight="false" outlineLevel="0" collapsed="false">
      <c r="A10" s="3" t="s">
        <v>6</v>
      </c>
      <c r="B10" s="3"/>
    </row>
    <row r="11" customFormat="false" ht="55.5" hidden="false" customHeight="true" outlineLevel="0" collapsed="false">
      <c r="A11" s="4" t="s">
        <v>7</v>
      </c>
      <c r="B11" s="4"/>
    </row>
  </sheetData>
  <mergeCells count="8">
    <mergeCell ref="A1:B1"/>
    <mergeCell ref="A2:B2"/>
    <mergeCell ref="A4:B4"/>
    <mergeCell ref="A5:B5"/>
    <mergeCell ref="A7:B7"/>
    <mergeCell ref="A8:B8"/>
    <mergeCell ref="A10:B10"/>
    <mergeCell ref="A11:B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</cols>
  <sheetData>
    <row r="1" customFormat="false" ht="27.75" hidden="false" customHeight="true" outlineLevel="0" collapsed="false">
      <c r="A1" s="1" t="s">
        <v>8</v>
      </c>
      <c r="B1" s="1"/>
    </row>
    <row r="2" customFormat="false" ht="19.5" hidden="false" customHeight="true" outlineLevel="0" collapsed="false">
      <c r="A2" s="2" t="s">
        <v>9</v>
      </c>
      <c r="B2" s="2"/>
    </row>
    <row r="4" customFormat="false" ht="15" hidden="false" customHeight="false" outlineLevel="0" collapsed="false">
      <c r="A4" s="5" t="s">
        <v>10</v>
      </c>
    </row>
    <row r="5" customFormat="false" ht="15" hidden="false" customHeight="false" outlineLevel="0" collapsed="false">
      <c r="A5" s="6" t="s">
        <v>11</v>
      </c>
      <c r="B5" s="6" t="s">
        <v>12</v>
      </c>
    </row>
    <row r="6" customFormat="false" ht="15" hidden="false" customHeight="false" outlineLevel="0" collapsed="false">
      <c r="A6" s="7" t="s">
        <v>13</v>
      </c>
      <c r="B6" s="8" t="n">
        <f aca="false">COUNTIF('Stakeholder Register'!C5:C19,A6)</f>
        <v>1</v>
      </c>
    </row>
    <row r="7" customFormat="false" ht="15" hidden="false" customHeight="false" outlineLevel="0" collapsed="false">
      <c r="A7" s="7" t="s">
        <v>14</v>
      </c>
      <c r="B7" s="8" t="n">
        <f aca="false">COUNTIF('Stakeholder Register'!C5:C19,A7)</f>
        <v>3</v>
      </c>
    </row>
    <row r="8" customFormat="false" ht="15" hidden="false" customHeight="false" outlineLevel="0" collapsed="false">
      <c r="A8" s="7" t="s">
        <v>15</v>
      </c>
      <c r="B8" s="8" t="n">
        <f aca="false">COUNTIF('Stakeholder Register'!C5:C19,A8)</f>
        <v>3</v>
      </c>
    </row>
    <row r="9" customFormat="false" ht="15" hidden="false" customHeight="false" outlineLevel="0" collapsed="false">
      <c r="A9" s="7" t="s">
        <v>16</v>
      </c>
      <c r="B9" s="8" t="n">
        <f aca="false">COUNTIF('Stakeholder Register'!C5:C19,A9)</f>
        <v>2</v>
      </c>
    </row>
    <row r="10" customFormat="false" ht="15" hidden="false" customHeight="false" outlineLevel="0" collapsed="false">
      <c r="A10" s="7" t="s">
        <v>17</v>
      </c>
      <c r="B10" s="8" t="n">
        <f aca="false">COUNTIF('Stakeholder Register'!C5:C19,A10)</f>
        <v>1</v>
      </c>
    </row>
    <row r="11" customFormat="false" ht="15" hidden="false" customHeight="false" outlineLevel="0" collapsed="false">
      <c r="A11" s="7" t="s">
        <v>18</v>
      </c>
      <c r="B11" s="8" t="n">
        <f aca="false">COUNTIF('Stakeholder Register'!C5:C19,A11)</f>
        <v>1</v>
      </c>
    </row>
    <row r="12" customFormat="false" ht="15" hidden="false" customHeight="false" outlineLevel="0" collapsed="false">
      <c r="A12" s="7" t="s">
        <v>19</v>
      </c>
      <c r="B12" s="8" t="n">
        <f aca="false">COUNTIF('Stakeholder Register'!C5:C19,A12)</f>
        <v>2</v>
      </c>
    </row>
    <row r="13" customFormat="false" ht="15" hidden="false" customHeight="false" outlineLevel="0" collapsed="false">
      <c r="A13" s="7" t="s">
        <v>20</v>
      </c>
      <c r="B13" s="8" t="n">
        <f aca="false">COUNTIF('Stakeholder Register'!C5:C19,A13)</f>
        <v>2</v>
      </c>
    </row>
    <row r="15" customFormat="false" ht="15" hidden="false" customHeight="false" outlineLevel="0" collapsed="false">
      <c r="A15" s="5" t="s">
        <v>21</v>
      </c>
    </row>
    <row r="16" customFormat="false" ht="15" hidden="false" customHeight="false" outlineLevel="0" collapsed="false">
      <c r="A16" s="6" t="s">
        <v>22</v>
      </c>
      <c r="B16" s="6" t="s">
        <v>12</v>
      </c>
    </row>
    <row r="17" customFormat="false" ht="15" hidden="false" customHeight="false" outlineLevel="0" collapsed="false">
      <c r="A17" s="7" t="s">
        <v>23</v>
      </c>
      <c r="B17" s="8" t="n">
        <f aca="false">COUNTIF('Stakeholder Register'!F5:F19,A17)</f>
        <v>9</v>
      </c>
    </row>
    <row r="18" customFormat="false" ht="15" hidden="false" customHeight="false" outlineLevel="0" collapsed="false">
      <c r="A18" s="7" t="s">
        <v>24</v>
      </c>
      <c r="B18" s="8" t="n">
        <f aca="false">COUNTIF('Stakeholder Register'!F5:F19,A18)</f>
        <v>1</v>
      </c>
    </row>
    <row r="19" customFormat="false" ht="15" hidden="false" customHeight="false" outlineLevel="0" collapsed="false">
      <c r="A19" s="7" t="s">
        <v>25</v>
      </c>
      <c r="B19" s="8" t="n">
        <f aca="false">COUNTIF('Stakeholder Register'!F5:F19,A19)</f>
        <v>4</v>
      </c>
    </row>
    <row r="20" customFormat="false" ht="15" hidden="false" customHeight="false" outlineLevel="0" collapsed="false">
      <c r="A20" s="7" t="s">
        <v>26</v>
      </c>
      <c r="B20" s="8" t="n">
        <f aca="false">COUNTIF('Stakeholder Register'!F5:F19,A20)</f>
        <v>1</v>
      </c>
    </row>
    <row r="22" customFormat="false" ht="15" hidden="false" customHeight="false" outlineLevel="0" collapsed="false">
      <c r="A22" s="9" t="s">
        <v>27</v>
      </c>
      <c r="B22" s="9"/>
    </row>
  </sheetData>
  <mergeCells count="3">
    <mergeCell ref="A1:B1"/>
    <mergeCell ref="A2:B2"/>
    <mergeCell ref="A22:B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0"/>
    <col collapsed="false" customWidth="true" hidden="false" outlineLevel="0" max="6" min="6" style="0" width="18"/>
    <col collapsed="false" customWidth="true" hidden="false" outlineLevel="0" max="7" min="7" style="0" width="34"/>
    <col collapsed="false" customWidth="true" hidden="false" outlineLevel="0" max="8" min="8" style="0" width="14"/>
  </cols>
  <sheetData>
    <row r="1" customFormat="false" ht="27.75" hidden="false" customHeight="true" outlineLevel="0" collapsed="false">
      <c r="A1" s="1" t="s">
        <v>28</v>
      </c>
      <c r="B1" s="1"/>
      <c r="C1" s="1"/>
      <c r="D1" s="1"/>
      <c r="E1" s="1"/>
      <c r="F1" s="1"/>
      <c r="G1" s="1"/>
      <c r="H1" s="1"/>
    </row>
    <row r="2" customFormat="false" ht="19.5" hidden="false" customHeight="true" outlineLevel="0" collapsed="false">
      <c r="A2" s="2" t="s">
        <v>29</v>
      </c>
      <c r="B2" s="2"/>
      <c r="C2" s="2"/>
      <c r="D2" s="2"/>
      <c r="E2" s="2"/>
      <c r="F2" s="2"/>
      <c r="G2" s="2"/>
      <c r="H2" s="2"/>
    </row>
    <row r="4" customFormat="false" ht="25.5" hidden="false" customHeight="true" outlineLevel="0" collapsed="false">
      <c r="A4" s="6" t="s">
        <v>30</v>
      </c>
      <c r="B4" s="6" t="s">
        <v>31</v>
      </c>
      <c r="C4" s="6" t="s">
        <v>11</v>
      </c>
      <c r="D4" s="6" t="s">
        <v>32</v>
      </c>
      <c r="E4" s="6" t="s">
        <v>33</v>
      </c>
      <c r="F4" s="6" t="s">
        <v>22</v>
      </c>
      <c r="G4" s="6" t="s">
        <v>34</v>
      </c>
      <c r="H4" s="6" t="s">
        <v>35</v>
      </c>
    </row>
    <row r="5" customFormat="false" ht="30" hidden="false" customHeight="true" outlineLevel="0" collapsed="false">
      <c r="A5" s="10" t="s">
        <v>36</v>
      </c>
      <c r="B5" s="11" t="s">
        <v>37</v>
      </c>
      <c r="C5" s="7" t="s">
        <v>13</v>
      </c>
      <c r="D5" s="12" t="n">
        <v>5</v>
      </c>
      <c r="E5" s="12" t="n">
        <v>4</v>
      </c>
      <c r="F5" s="13" t="str">
        <f aca="false">IF(OR(D5="",E5=""),"",IF(D5&gt;=3,IF(E5&gt;=3,"Manage Closely","Keep Satisfied"),IF(E5&gt;=3,"Keep Informed","Monitor")))</f>
        <v>Manage Closely</v>
      </c>
      <c r="G5" s="11" t="str">
        <f aca="false">IF(F5="","",IF(F5="Manage Closely","Engage proactively; regular direct involvement",IF(F5="Keep Satisfied","Consult periodically; keep satisfied without over-engaging",IF(F5="Keep Informed","Communicate regularly; involve in relevant decisions","Monitor with minimal effort; light-touch updates"))))</f>
        <v>Engage proactively; regular direct involvement</v>
      </c>
      <c r="H5" s="7"/>
    </row>
    <row r="6" customFormat="false" ht="30" hidden="false" customHeight="true" outlineLevel="0" collapsed="false">
      <c r="A6" s="14" t="s">
        <v>38</v>
      </c>
      <c r="B6" s="15" t="s">
        <v>39</v>
      </c>
      <c r="C6" s="16" t="s">
        <v>14</v>
      </c>
      <c r="D6" s="17" t="n">
        <v>5</v>
      </c>
      <c r="E6" s="17" t="n">
        <v>5</v>
      </c>
      <c r="F6" s="18" t="str">
        <f aca="false">IF(OR(D6="",E6=""),"",IF(D6&gt;=3,IF(E6&gt;=3,"Manage Closely","Keep Satisfied"),IF(E6&gt;=3,"Keep Informed","Monitor")))</f>
        <v>Manage Closely</v>
      </c>
      <c r="G6" s="15" t="str">
        <f aca="false">IF(F6="","",IF(F6="Manage Closely","Engage proactively; regular direct involvement",IF(F6="Keep Satisfied","Consult periodically; keep satisfied without over-engaging",IF(F6="Keep Informed","Communicate regularly; involve in relevant decisions","Monitor with minimal effort; light-touch updates"))))</f>
        <v>Engage proactively; regular direct involvement</v>
      </c>
      <c r="H6" s="16"/>
    </row>
    <row r="7" customFormat="false" ht="30" hidden="false" customHeight="true" outlineLevel="0" collapsed="false">
      <c r="A7" s="10" t="s">
        <v>40</v>
      </c>
      <c r="B7" s="11" t="s">
        <v>41</v>
      </c>
      <c r="C7" s="7" t="s">
        <v>14</v>
      </c>
      <c r="D7" s="12" t="n">
        <v>5</v>
      </c>
      <c r="E7" s="12" t="n">
        <v>5</v>
      </c>
      <c r="F7" s="13" t="str">
        <f aca="false">IF(OR(D7="",E7=""),"",IF(D7&gt;=3,IF(E7&gt;=3,"Manage Closely","Keep Satisfied"),IF(E7&gt;=3,"Keep Informed","Monitor")))</f>
        <v>Manage Closely</v>
      </c>
      <c r="G7" s="11" t="str">
        <f aca="false">IF(F7="","",IF(F7="Manage Closely","Engage proactively; regular direct involvement",IF(F7="Keep Satisfied","Consult periodically; keep satisfied without over-engaging",IF(F7="Keep Informed","Communicate regularly; involve in relevant decisions","Monitor with minimal effort; light-touch updates"))))</f>
        <v>Engage proactively; regular direct involvement</v>
      </c>
      <c r="H7" s="7"/>
    </row>
    <row r="8" customFormat="false" ht="30" hidden="false" customHeight="true" outlineLevel="0" collapsed="false">
      <c r="A8" s="14" t="s">
        <v>42</v>
      </c>
      <c r="B8" s="15" t="s">
        <v>43</v>
      </c>
      <c r="C8" s="16" t="s">
        <v>14</v>
      </c>
      <c r="D8" s="17" t="n">
        <v>5</v>
      </c>
      <c r="E8" s="17" t="n">
        <v>5</v>
      </c>
      <c r="F8" s="18" t="str">
        <f aca="false">IF(OR(D8="",E8=""),"",IF(D8&gt;=3,IF(E8&gt;=3,"Manage Closely","Keep Satisfied"),IF(E8&gt;=3,"Keep Informed","Monitor")))</f>
        <v>Manage Closely</v>
      </c>
      <c r="G8" s="15" t="str">
        <f aca="false">IF(F8="","",IF(F8="Manage Closely","Engage proactively; regular direct involvement",IF(F8="Keep Satisfied","Consult periodically; keep satisfied without over-engaging",IF(F8="Keep Informed","Communicate regularly; involve in relevant decisions","Monitor with minimal effort; light-touch updates"))))</f>
        <v>Engage proactively; regular direct involvement</v>
      </c>
      <c r="H8" s="16"/>
    </row>
    <row r="9" customFormat="false" ht="30" hidden="false" customHeight="true" outlineLevel="0" collapsed="false">
      <c r="A9" s="10" t="s">
        <v>44</v>
      </c>
      <c r="B9" s="11" t="s">
        <v>45</v>
      </c>
      <c r="C9" s="7" t="s">
        <v>16</v>
      </c>
      <c r="D9" s="12" t="n">
        <v>3</v>
      </c>
      <c r="E9" s="12" t="n">
        <v>5</v>
      </c>
      <c r="F9" s="13" t="str">
        <f aca="false">IF(OR(D9="",E9=""),"",IF(D9&gt;=3,IF(E9&gt;=3,"Manage Closely","Keep Satisfied"),IF(E9&gt;=3,"Keep Informed","Monitor")))</f>
        <v>Manage Closely</v>
      </c>
      <c r="G9" s="11" t="str">
        <f aca="false">IF(F9="","",IF(F9="Manage Closely","Engage proactively; regular direct involvement",IF(F9="Keep Satisfied","Consult periodically; keep satisfied without over-engaging",IF(F9="Keep Informed","Communicate regularly; involve in relevant decisions","Monitor with minimal effort; light-touch updates"))))</f>
        <v>Engage proactively; regular direct involvement</v>
      </c>
      <c r="H9" s="7"/>
    </row>
    <row r="10" customFormat="false" ht="30" hidden="false" customHeight="true" outlineLevel="0" collapsed="false">
      <c r="A10" s="14" t="s">
        <v>46</v>
      </c>
      <c r="B10" s="15" t="s">
        <v>47</v>
      </c>
      <c r="C10" s="16" t="s">
        <v>16</v>
      </c>
      <c r="D10" s="17" t="n">
        <v>3</v>
      </c>
      <c r="E10" s="17" t="n">
        <v>4</v>
      </c>
      <c r="F10" s="18" t="str">
        <f aca="false">IF(OR(D10="",E10=""),"",IF(D10&gt;=3,IF(E10&gt;=3,"Manage Closely","Keep Satisfied"),IF(E10&gt;=3,"Keep Informed","Monitor")))</f>
        <v>Manage Closely</v>
      </c>
      <c r="G10" s="15" t="str">
        <f aca="false">IF(F10="","",IF(F10="Manage Closely","Engage proactively; regular direct involvement",IF(F10="Keep Satisfied","Consult periodically; keep satisfied without over-engaging",IF(F10="Keep Informed","Communicate regularly; involve in relevant decisions","Monitor with minimal effort; light-touch updates"))))</f>
        <v>Engage proactively; regular direct involvement</v>
      </c>
      <c r="H10" s="16"/>
    </row>
    <row r="11" customFormat="false" ht="30" hidden="false" customHeight="true" outlineLevel="0" collapsed="false">
      <c r="A11" s="10" t="s">
        <v>48</v>
      </c>
      <c r="B11" s="11" t="s">
        <v>49</v>
      </c>
      <c r="C11" s="7" t="s">
        <v>17</v>
      </c>
      <c r="D11" s="12" t="n">
        <v>4</v>
      </c>
      <c r="E11" s="12" t="n">
        <v>3</v>
      </c>
      <c r="F11" s="13" t="str">
        <f aca="false">IF(OR(D11="",E11=""),"",IF(D11&gt;=3,IF(E11&gt;=3,"Manage Closely","Keep Satisfied"),IF(E11&gt;=3,"Keep Informed","Monitor")))</f>
        <v>Manage Closely</v>
      </c>
      <c r="G11" s="11" t="str">
        <f aca="false">IF(F11="","",IF(F11="Manage Closely","Engage proactively; regular direct involvement",IF(F11="Keep Satisfied","Consult periodically; keep satisfied without over-engaging",IF(F11="Keep Informed","Communicate regularly; involve in relevant decisions","Monitor with minimal effort; light-touch updates"))))</f>
        <v>Engage proactively; regular direct involvement</v>
      </c>
      <c r="H11" s="7"/>
    </row>
    <row r="12" customFormat="false" ht="30" hidden="false" customHeight="true" outlineLevel="0" collapsed="false">
      <c r="A12" s="14" t="s">
        <v>50</v>
      </c>
      <c r="B12" s="15" t="s">
        <v>51</v>
      </c>
      <c r="C12" s="16" t="s">
        <v>15</v>
      </c>
      <c r="D12" s="17" t="n">
        <v>3</v>
      </c>
      <c r="E12" s="17" t="n">
        <v>4</v>
      </c>
      <c r="F12" s="18" t="str">
        <f aca="false">IF(OR(D12="",E12=""),"",IF(D12&gt;=3,IF(E12&gt;=3,"Manage Closely","Keep Satisfied"),IF(E12&gt;=3,"Keep Informed","Monitor")))</f>
        <v>Manage Closely</v>
      </c>
      <c r="G12" s="15" t="str">
        <f aca="false">IF(F12="","",IF(F12="Manage Closely","Engage proactively; regular direct involvement",IF(F12="Keep Satisfied","Consult periodically; keep satisfied without over-engaging",IF(F12="Keep Informed","Communicate regularly; involve in relevant decisions","Monitor with minimal effort; light-touch updates"))))</f>
        <v>Engage proactively; regular direct involvement</v>
      </c>
      <c r="H12" s="16"/>
    </row>
    <row r="13" customFormat="false" ht="30" hidden="false" customHeight="true" outlineLevel="0" collapsed="false">
      <c r="A13" s="10" t="s">
        <v>52</v>
      </c>
      <c r="B13" s="11" t="s">
        <v>53</v>
      </c>
      <c r="C13" s="7" t="s">
        <v>15</v>
      </c>
      <c r="D13" s="12" t="n">
        <v>2</v>
      </c>
      <c r="E13" s="12" t="n">
        <v>4</v>
      </c>
      <c r="F13" s="13" t="str">
        <f aca="false">IF(OR(D13="",E13=""),"",IF(D13&gt;=3,IF(E13&gt;=3,"Manage Closely","Keep Satisfied"),IF(E13&gt;=3,"Keep Informed","Monitor")))</f>
        <v>Keep Informed</v>
      </c>
      <c r="G13" s="11" t="str">
        <f aca="false">IF(F13="","",IF(F13="Manage Closely","Engage proactively; regular direct involvement",IF(F13="Keep Satisfied","Consult periodically; keep satisfied without over-engaging",IF(F13="Keep Informed","Communicate regularly; involve in relevant decisions","Monitor with minimal effort; light-touch updates"))))</f>
        <v>Communicate regularly; involve in relevant decisions</v>
      </c>
      <c r="H13" s="7"/>
    </row>
    <row r="14" customFormat="false" ht="30" hidden="false" customHeight="true" outlineLevel="0" collapsed="false">
      <c r="A14" s="14" t="s">
        <v>54</v>
      </c>
      <c r="B14" s="15" t="s">
        <v>55</v>
      </c>
      <c r="C14" s="16" t="s">
        <v>15</v>
      </c>
      <c r="D14" s="17" t="n">
        <v>2</v>
      </c>
      <c r="E14" s="17" t="n">
        <v>3</v>
      </c>
      <c r="F14" s="18" t="str">
        <f aca="false">IF(OR(D14="",E14=""),"",IF(D14&gt;=3,IF(E14&gt;=3,"Manage Closely","Keep Satisfied"),IF(E14&gt;=3,"Keep Informed","Monitor")))</f>
        <v>Keep Informed</v>
      </c>
      <c r="G14" s="15" t="str">
        <f aca="false">IF(F14="","",IF(F14="Manage Closely","Engage proactively; regular direct involvement",IF(F14="Keep Satisfied","Consult periodically; keep satisfied without over-engaging",IF(F14="Keep Informed","Communicate regularly; involve in relevant decisions","Monitor with minimal effort; light-touch updates"))))</f>
        <v>Communicate regularly; involve in relevant decisions</v>
      </c>
      <c r="H14" s="16"/>
    </row>
    <row r="15" customFormat="false" ht="30" hidden="false" customHeight="true" outlineLevel="0" collapsed="false">
      <c r="A15" s="10" t="s">
        <v>56</v>
      </c>
      <c r="B15" s="11" t="s">
        <v>57</v>
      </c>
      <c r="C15" s="7" t="s">
        <v>19</v>
      </c>
      <c r="D15" s="12" t="n">
        <v>4</v>
      </c>
      <c r="E15" s="12" t="n">
        <v>2</v>
      </c>
      <c r="F15" s="13" t="str">
        <f aca="false">IF(OR(D15="",E15=""),"",IF(D15&gt;=3,IF(E15&gt;=3,"Manage Closely","Keep Satisfied"),IF(E15&gt;=3,"Keep Informed","Monitor")))</f>
        <v>Keep Satisfied</v>
      </c>
      <c r="G15" s="11" t="str">
        <f aca="false">IF(F15="","",IF(F15="Manage Closely","Engage proactively; regular direct involvement",IF(F15="Keep Satisfied","Consult periodically; keep satisfied without over-engaging",IF(F15="Keep Informed","Communicate regularly; involve in relevant decisions","Monitor with minimal effort; light-touch updates"))))</f>
        <v>Consult periodically; keep satisfied without over-engaging</v>
      </c>
      <c r="H15" s="7"/>
    </row>
    <row r="16" customFormat="false" ht="30" hidden="false" customHeight="true" outlineLevel="0" collapsed="false">
      <c r="A16" s="14" t="s">
        <v>58</v>
      </c>
      <c r="B16" s="15" t="s">
        <v>59</v>
      </c>
      <c r="C16" s="16" t="s">
        <v>19</v>
      </c>
      <c r="D16" s="17" t="n">
        <v>3</v>
      </c>
      <c r="E16" s="17" t="n">
        <v>3</v>
      </c>
      <c r="F16" s="18" t="str">
        <f aca="false">IF(OR(D16="",E16=""),"",IF(D16&gt;=3,IF(E16&gt;=3,"Manage Closely","Keep Satisfied"),IF(E16&gt;=3,"Keep Informed","Monitor")))</f>
        <v>Manage Closely</v>
      </c>
      <c r="G16" s="15" t="str">
        <f aca="false">IF(F16="","",IF(F16="Manage Closely","Engage proactively; regular direct involvement",IF(F16="Keep Satisfied","Consult periodically; keep satisfied without over-engaging",IF(F16="Keep Informed","Communicate regularly; involve in relevant decisions","Monitor with minimal effort; light-touch updates"))))</f>
        <v>Engage proactively; regular direct involvement</v>
      </c>
      <c r="H16" s="16"/>
    </row>
    <row r="17" customFormat="false" ht="30" hidden="false" customHeight="true" outlineLevel="0" collapsed="false">
      <c r="A17" s="10" t="s">
        <v>60</v>
      </c>
      <c r="B17" s="11" t="s">
        <v>61</v>
      </c>
      <c r="C17" s="7" t="s">
        <v>18</v>
      </c>
      <c r="D17" s="12" t="n">
        <v>2</v>
      </c>
      <c r="E17" s="12" t="n">
        <v>5</v>
      </c>
      <c r="F17" s="13" t="str">
        <f aca="false">IF(OR(D17="",E17=""),"",IF(D17&gt;=3,IF(E17&gt;=3,"Manage Closely","Keep Satisfied"),IF(E17&gt;=3,"Keep Informed","Monitor")))</f>
        <v>Keep Informed</v>
      </c>
      <c r="G17" s="11" t="str">
        <f aca="false">IF(F17="","",IF(F17="Manage Closely","Engage proactively; regular direct involvement",IF(F17="Keep Satisfied","Consult periodically; keep satisfied without over-engaging",IF(F17="Keep Informed","Communicate regularly; involve in relevant decisions","Monitor with minimal effort; light-touch updates"))))</f>
        <v>Communicate regularly; involve in relevant decisions</v>
      </c>
      <c r="H17" s="7"/>
    </row>
    <row r="18" customFormat="false" ht="30" hidden="false" customHeight="true" outlineLevel="0" collapsed="false">
      <c r="A18" s="14" t="s">
        <v>62</v>
      </c>
      <c r="B18" s="15" t="s">
        <v>63</v>
      </c>
      <c r="C18" s="16" t="s">
        <v>20</v>
      </c>
      <c r="D18" s="17" t="n">
        <v>2</v>
      </c>
      <c r="E18" s="17" t="n">
        <v>4</v>
      </c>
      <c r="F18" s="18" t="str">
        <f aca="false">IF(OR(D18="",E18=""),"",IF(D18&gt;=3,IF(E18&gt;=3,"Manage Closely","Keep Satisfied"),IF(E18&gt;=3,"Keep Informed","Monitor")))</f>
        <v>Keep Informed</v>
      </c>
      <c r="G18" s="15" t="str">
        <f aca="false">IF(F18="","",IF(F18="Manage Closely","Engage proactively; regular direct involvement",IF(F18="Keep Satisfied","Consult periodically; keep satisfied without over-engaging",IF(F18="Keep Informed","Communicate regularly; involve in relevant decisions","Monitor with minimal effort; light-touch updates"))))</f>
        <v>Communicate regularly; involve in relevant decisions</v>
      </c>
      <c r="H18" s="16"/>
    </row>
    <row r="19" customFormat="false" ht="30" hidden="false" customHeight="true" outlineLevel="0" collapsed="false">
      <c r="A19" s="10" t="s">
        <v>64</v>
      </c>
      <c r="B19" s="11" t="s">
        <v>65</v>
      </c>
      <c r="C19" s="7" t="s">
        <v>20</v>
      </c>
      <c r="D19" s="12" t="n">
        <v>2</v>
      </c>
      <c r="E19" s="12" t="n">
        <v>2</v>
      </c>
      <c r="F19" s="13" t="str">
        <f aca="false">IF(OR(D19="",E19=""),"",IF(D19&gt;=3,IF(E19&gt;=3,"Manage Closely","Keep Satisfied"),IF(E19&gt;=3,"Keep Informed","Monitor")))</f>
        <v>Monitor</v>
      </c>
      <c r="G19" s="11" t="str">
        <f aca="false">IF(F19="","",IF(F19="Manage Closely","Engage proactively; regular direct involvement",IF(F19="Keep Satisfied","Consult periodically; keep satisfied without over-engaging",IF(F19="Keep Informed","Communicate regularly; involve in relevant decisions","Monitor with minimal effort; light-touch updates"))))</f>
        <v>Monitor with minimal effort; light-touch updates</v>
      </c>
      <c r="H19" s="7"/>
    </row>
  </sheetData>
  <mergeCells count="2">
    <mergeCell ref="A1:H1"/>
    <mergeCell ref="A2:H2"/>
  </mergeCells>
  <conditionalFormatting sqref="F5:F19">
    <cfRule type="expression" priority="2" aboveAverage="0" equalAverage="0" bottom="0" percent="0" rank="0" text="" dxfId="0">
      <formula>F5="Manage Closely"</formula>
    </cfRule>
    <cfRule type="expression" priority="3" aboveAverage="0" equalAverage="0" bottom="0" percent="0" rank="0" text="" dxfId="1">
      <formula>F5="Keep Satisfied"</formula>
    </cfRule>
    <cfRule type="expression" priority="4" aboveAverage="0" equalAverage="0" bottom="0" percent="0" rank="0" text="" dxfId="2">
      <formula>F5="Keep Informed"</formula>
    </cfRule>
    <cfRule type="expression" priority="5" aboveAverage="0" equalAverage="0" bottom="0" percent="0" rank="0" text="" dxfId="3">
      <formula>F5="Monitor"</formula>
    </cfRule>
  </conditionalFormatting>
  <dataValidations count="2">
    <dataValidation allowBlank="true" errorStyle="stop" operator="between" showDropDown="false" showErrorMessage="false" showInputMessage="false" sqref="D5:E19" type="list">
      <formula1>"1,2,3,4,5"</formula1>
      <formula2>0</formula2>
    </dataValidation>
    <dataValidation allowBlank="true" errorStyle="stop" operator="between" showDropDown="false" showErrorMessage="false" showInputMessage="false" sqref="C5:C19" type="list">
      <formula1>"Regulator,Board/Governance,Internal - First Line,Internal - Second Line,Internal - Third Line,Customer,Third Party/Supplier,Other External"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</cols>
  <sheetData>
    <row r="1" customFormat="false" ht="27.75" hidden="false" customHeight="true" outlineLevel="0" collapsed="false">
      <c r="A1" s="1" t="s">
        <v>66</v>
      </c>
      <c r="B1" s="1"/>
      <c r="C1" s="1"/>
    </row>
    <row r="2" customFormat="false" ht="19.5" hidden="false" customHeight="true" outlineLevel="0" collapsed="false">
      <c r="A2" s="2" t="s">
        <v>67</v>
      </c>
      <c r="B2" s="2"/>
      <c r="C2" s="2"/>
    </row>
    <row r="4" customFormat="false" ht="15" hidden="false" customHeight="false" outlineLevel="0" collapsed="false">
      <c r="A4" s="6" t="s">
        <v>68</v>
      </c>
      <c r="B4" s="6" t="s">
        <v>69</v>
      </c>
      <c r="C4" s="6" t="s">
        <v>70</v>
      </c>
    </row>
    <row r="5" customFormat="false" ht="15" hidden="false" customHeight="false" outlineLevel="0" collapsed="false">
      <c r="A5" s="7" t="str">
        <f aca="false">'Stakeholder Register'!B5</f>
        <v>Financial Conduct Authority (FCA)</v>
      </c>
      <c r="B5" s="10" t="n">
        <f aca="false">'Stakeholder Register'!E5</f>
        <v>4</v>
      </c>
      <c r="C5" s="10" t="n">
        <f aca="false">'Stakeholder Register'!D5</f>
        <v>5</v>
      </c>
    </row>
    <row r="6" customFormat="false" ht="15" hidden="false" customHeight="false" outlineLevel="0" collapsed="false">
      <c r="A6" s="7" t="str">
        <f aca="false">'Stakeholder Register'!B6</f>
        <v>Board of Directors</v>
      </c>
      <c r="B6" s="10" t="n">
        <f aca="false">'Stakeholder Register'!E6</f>
        <v>5</v>
      </c>
      <c r="C6" s="10" t="n">
        <f aca="false">'Stakeholder Register'!D6</f>
        <v>5</v>
      </c>
    </row>
    <row r="7" customFormat="false" ht="15" hidden="false" customHeight="false" outlineLevel="0" collapsed="false">
      <c r="A7" s="7" t="str">
        <f aca="false">'Stakeholder Register'!B7</f>
        <v>Consumer Duty Oversight Committee</v>
      </c>
      <c r="B7" s="10" t="n">
        <f aca="false">'Stakeholder Register'!E7</f>
        <v>5</v>
      </c>
      <c r="C7" s="10" t="n">
        <f aca="false">'Stakeholder Register'!D7</f>
        <v>5</v>
      </c>
    </row>
    <row r="8" customFormat="false" ht="15" hidden="false" customHeight="false" outlineLevel="0" collapsed="false">
      <c r="A8" s="7" t="str">
        <f aca="false">'Stakeholder Register'!B8</f>
        <v>Senior Management Function (SMF) Holders</v>
      </c>
      <c r="B8" s="10" t="n">
        <f aca="false">'Stakeholder Register'!E8</f>
        <v>5</v>
      </c>
      <c r="C8" s="10" t="n">
        <f aca="false">'Stakeholder Register'!D8</f>
        <v>5</v>
      </c>
    </row>
    <row r="9" customFormat="false" ht="15" hidden="false" customHeight="false" outlineLevel="0" collapsed="false">
      <c r="A9" s="7" t="str">
        <f aca="false">'Stakeholder Register'!B9</f>
        <v>Compliance Function</v>
      </c>
      <c r="B9" s="10" t="n">
        <f aca="false">'Stakeholder Register'!E9</f>
        <v>5</v>
      </c>
      <c r="C9" s="10" t="n">
        <f aca="false">'Stakeholder Register'!D9</f>
        <v>3</v>
      </c>
    </row>
    <row r="10" customFormat="false" ht="15" hidden="false" customHeight="false" outlineLevel="0" collapsed="false">
      <c r="A10" s="7" t="str">
        <f aca="false">'Stakeholder Register'!B10</f>
        <v>Risk Function</v>
      </c>
      <c r="B10" s="10" t="n">
        <f aca="false">'Stakeholder Register'!E10</f>
        <v>4</v>
      </c>
      <c r="C10" s="10" t="n">
        <f aca="false">'Stakeholder Register'!D10</f>
        <v>3</v>
      </c>
    </row>
    <row r="11" customFormat="false" ht="15" hidden="false" customHeight="false" outlineLevel="0" collapsed="false">
      <c r="A11" s="7" t="str">
        <f aca="false">'Stakeholder Register'!B11</f>
        <v>Internal Audit</v>
      </c>
      <c r="B11" s="10" t="n">
        <f aca="false">'Stakeholder Register'!E11</f>
        <v>3</v>
      </c>
      <c r="C11" s="10" t="n">
        <f aca="false">'Stakeholder Register'!D11</f>
        <v>4</v>
      </c>
    </row>
    <row r="12" customFormat="false" ht="15" hidden="false" customHeight="false" outlineLevel="0" collapsed="false">
      <c r="A12" s="7" t="str">
        <f aca="false">'Stakeholder Register'!B12</f>
        <v>Product &amp; Proposition Teams</v>
      </c>
      <c r="B12" s="10" t="n">
        <f aca="false">'Stakeholder Register'!E12</f>
        <v>4</v>
      </c>
      <c r="C12" s="10" t="n">
        <f aca="false">'Stakeholder Register'!D12</f>
        <v>3</v>
      </c>
    </row>
    <row r="13" customFormat="false" ht="15" hidden="false" customHeight="false" outlineLevel="0" collapsed="false">
      <c r="A13" s="7" t="str">
        <f aca="false">'Stakeholder Register'!B13</f>
        <v>Customer Service / Operations</v>
      </c>
      <c r="B13" s="10" t="n">
        <f aca="false">'Stakeholder Register'!E13</f>
        <v>4</v>
      </c>
      <c r="C13" s="10" t="n">
        <f aca="false">'Stakeholder Register'!D13</f>
        <v>2</v>
      </c>
    </row>
    <row r="14" customFormat="false" ht="15" hidden="false" customHeight="false" outlineLevel="0" collapsed="false">
      <c r="A14" s="7" t="str">
        <f aca="false">'Stakeholder Register'!B14</f>
        <v>Marketing &amp; Communications</v>
      </c>
      <c r="B14" s="10" t="n">
        <f aca="false">'Stakeholder Register'!E14</f>
        <v>3</v>
      </c>
      <c r="C14" s="10" t="n">
        <f aca="false">'Stakeholder Register'!D14</f>
        <v>2</v>
      </c>
    </row>
    <row r="15" customFormat="false" ht="15" hidden="false" customHeight="false" outlineLevel="0" collapsed="false">
      <c r="A15" s="7" t="str">
        <f aca="false">'Stakeholder Register'!B15</f>
        <v>External Auditors</v>
      </c>
      <c r="B15" s="10" t="n">
        <f aca="false">'Stakeholder Register'!E15</f>
        <v>2</v>
      </c>
      <c r="C15" s="10" t="n">
        <f aca="false">'Stakeholder Register'!D15</f>
        <v>4</v>
      </c>
    </row>
    <row r="16" customFormat="false" ht="15" hidden="false" customHeight="false" outlineLevel="0" collapsed="false">
      <c r="A16" s="7" t="str">
        <f aca="false">'Stakeholder Register'!B16</f>
        <v>Distribution Partners</v>
      </c>
      <c r="B16" s="10" t="n">
        <f aca="false">'Stakeholder Register'!E16</f>
        <v>3</v>
      </c>
      <c r="C16" s="10" t="n">
        <f aca="false">'Stakeholder Register'!D16</f>
        <v>3</v>
      </c>
    </row>
    <row r="17" customFormat="false" ht="15" hidden="false" customHeight="false" outlineLevel="0" collapsed="false">
      <c r="A17" s="7" t="str">
        <f aca="false">'Stakeholder Register'!B17</f>
        <v>Customers (Retail)</v>
      </c>
      <c r="B17" s="10" t="n">
        <f aca="false">'Stakeholder Register'!E17</f>
        <v>5</v>
      </c>
      <c r="C17" s="10" t="n">
        <f aca="false">'Stakeholder Register'!D17</f>
        <v>2</v>
      </c>
    </row>
    <row r="18" customFormat="false" ht="15" hidden="false" customHeight="false" outlineLevel="0" collapsed="false">
      <c r="A18" s="7" t="str">
        <f aca="false">'Stakeholder Register'!B18</f>
        <v>Vulnerable Customer Advocacy Groups</v>
      </c>
      <c r="B18" s="10" t="n">
        <f aca="false">'Stakeholder Register'!E18</f>
        <v>4</v>
      </c>
      <c r="C18" s="10" t="n">
        <f aca="false">'Stakeholder Register'!D18</f>
        <v>2</v>
      </c>
    </row>
    <row r="19" customFormat="false" ht="15" hidden="false" customHeight="false" outlineLevel="0" collapsed="false">
      <c r="A19" s="7" t="str">
        <f aca="false">'Stakeholder Register'!B19</f>
        <v>Trade Body / Industry Forum</v>
      </c>
      <c r="B19" s="10" t="n">
        <f aca="false">'Stakeholder Register'!E19</f>
        <v>2</v>
      </c>
      <c r="C19" s="10" t="n">
        <f aca="false">'Stakeholder Register'!D19</f>
        <v>2</v>
      </c>
    </row>
    <row r="21" customFormat="false" ht="15" hidden="false" customHeight="false" outlineLevel="0" collapsed="false">
      <c r="A21" s="9" t="s">
        <v>71</v>
      </c>
      <c r="B21" s="9"/>
      <c r="C21" s="9"/>
    </row>
  </sheetData>
  <mergeCells count="3">
    <mergeCell ref="A1:C1"/>
    <mergeCell ref="A2:C2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&amp;C© 2026 xPercept.ai. Copyright and confidential. Do not distribute.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2026-08-05T15:32:32Z</dcterms:created>
  <dc:creator>openpyxl</dc:creator>
  <dc:description/>
  <dc:language>en-US</dc:language>
  <cp:lastModifiedBy/>
  <dcterms:modified xsi:type="dcterms:W3CDTF">2026-08-05T15:32:35Z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