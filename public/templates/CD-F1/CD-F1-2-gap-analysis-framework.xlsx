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Dashboard" sheetId="2" state="visible" r:id="rId4"/>
    <sheet name="Gap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<sst xmlns="http://schemas.openxmlformats.org/spreadsheetml/2006/main" count="81" uniqueCount="76">
  <si>
    <t xml:space="preserve">CD-F1 · Gap Analysis Framework</t>
  </si>
  <si>
    <t xml:space="preserve">Consumer Duty Implementation — Foundation Phase</t>
  </si>
  <si>
    <t xml:space="preserve">Purpose</t>
  </si>
  <si>
    <t xml:space="preserve">This framework captures gaps between the firm's current state (as scored in the Current State Maturity Assessment Questionnaire) and the target state required by the FCA Consumer Duty, and tracks remediation through to closure.</t>
  </si>
  <si>
    <t xml:space="preserve">How to use this workbook</t>
  </si>
  <si>
    <t xml:space="preserve">1. Log each identified gap in the Gap Register, one row per gap.
2. Describe the FCA expectation, the current state, and the target state clearly enough for an independent reviewer to understand the gap without further context.
3. Select Gap Severity and Status from the drop-downs — RAG status calculates automatically from these.
4. Assign an Owner and Target Date for every open gap.
5. Review the Summary Dashboard tab for gap volumes by severity, status, and outcome area.</t>
  </si>
  <si>
    <t xml:space="preserve">Severity definitions</t>
  </si>
  <si>
    <t xml:space="preserve">Critical — Material risk of customer harm or regulatory breach; requires immediate action.
High — Significant shortfall against FCA expectations; action required within the current quarter.
Medium — Moderate shortfall; should be addressed within the implementation roadmap timeline.
Low — Minor enhancement opportunity; can be addressed as part of business-as-usual improvement.</t>
  </si>
  <si>
    <t xml:space="preserve">CD-F1 · Gap Analysis Summary Dashboard</t>
  </si>
  <si>
    <t xml:space="preserve">Auto-calculates from the Gap Register</t>
  </si>
  <si>
    <t xml:space="preserve">Gaps by Severity</t>
  </si>
  <si>
    <t xml:space="preserve">Gaps by Status</t>
  </si>
  <si>
    <t xml:space="preserve">Severity</t>
  </si>
  <si>
    <t xml:space="preserve">Count</t>
  </si>
  <si>
    <t xml:space="preserve">Status</t>
  </si>
  <si>
    <t xml:space="preserve">Critical</t>
  </si>
  <si>
    <t xml:space="preserve">Not Started</t>
  </si>
  <si>
    <t xml:space="preserve">High</t>
  </si>
  <si>
    <t xml:space="preserve">In Progress</t>
  </si>
  <si>
    <t xml:space="preserve">Medium</t>
  </si>
  <si>
    <t xml:space="preserve">Blocked</t>
  </si>
  <si>
    <t xml:space="preserve">Low</t>
  </si>
  <si>
    <t xml:space="preserve">Complete</t>
  </si>
  <si>
    <t xml:space="preserve">Total Gaps Logged</t>
  </si>
  <si>
    <t xml:space="preserve">Open Critical/High Gaps</t>
  </si>
  <si>
    <t xml:space="preserve">Feed Critical and High severity gaps into the Priority Matrix &amp; Action Plan (CD-F1) and the Implementation Roadmap (CD-P3).</t>
  </si>
  <si>
    <t xml:space="preserve">CD-F1 · Gap Register</t>
  </si>
  <si>
    <t xml:space="preserve">Log, prioritise, and track every identified Consumer Duty gap through to closure</t>
  </si>
  <si>
    <t xml:space="preserve">Ref</t>
  </si>
  <si>
    <t xml:space="preserve">Outcome / Area</t>
  </si>
  <si>
    <t xml:space="preserve">FCA Expectation</t>
  </si>
  <si>
    <t xml:space="preserve">Current State</t>
  </si>
  <si>
    <t xml:space="preserve">Target State</t>
  </si>
  <si>
    <t xml:space="preserve">Gap Description</t>
  </si>
  <si>
    <t xml:space="preserve">Priority</t>
  </si>
  <si>
    <t xml:space="preserve">Owner</t>
  </si>
  <si>
    <t xml:space="preserve">Target Date</t>
  </si>
  <si>
    <t xml:space="preserve">RAG</t>
  </si>
  <si>
    <t xml:space="preserve">CD-GAP-01</t>
  </si>
  <si>
    <t xml:space="preserve">Price and Value</t>
  </si>
  <si>
    <t xml:space="preserve">A documented Fair Value Assessment framework must be applied consistently.</t>
  </si>
  <si>
    <t xml:space="preserve">FVAs are performed inconsistently and not documented centrally.</t>
  </si>
  <si>
    <t xml:space="preserve">A single FVA framework and template applied across all in-scope products.</t>
  </si>
  <si>
    <t xml:space="preserve">No standard FVA methodology; assessments vary by product line and are not centrally evidenced.</t>
  </si>
  <si>
    <t xml:space="preserve">P1</t>
  </si>
  <si>
    <t xml:space="preserve">J. Smith</t>
  </si>
  <si>
    <t xml:space="preserve">2026-09-30</t>
  </si>
  <si>
    <t xml:space="preserve">CD-GAP-02</t>
  </si>
  <si>
    <t xml:space="preserve">CD-GAP-03</t>
  </si>
  <si>
    <t xml:space="preserve">CD-GAP-04</t>
  </si>
  <si>
    <t xml:space="preserve">CD-GAP-05</t>
  </si>
  <si>
    <t xml:space="preserve">CD-GAP-06</t>
  </si>
  <si>
    <t xml:space="preserve">CD-GAP-07</t>
  </si>
  <si>
    <t xml:space="preserve">CD-GAP-08</t>
  </si>
  <si>
    <t xml:space="preserve">CD-GAP-09</t>
  </si>
  <si>
    <t xml:space="preserve">CD-GAP-10</t>
  </si>
  <si>
    <t xml:space="preserve">CD-GAP-11</t>
  </si>
  <si>
    <t xml:space="preserve">CD-GAP-12</t>
  </si>
  <si>
    <t xml:space="preserve">CD-GAP-13</t>
  </si>
  <si>
    <t xml:space="preserve">CD-GAP-14</t>
  </si>
  <si>
    <t xml:space="preserve">CD-GAP-15</t>
  </si>
  <si>
    <t xml:space="preserve">CD-GAP-16</t>
  </si>
  <si>
    <t xml:space="preserve">CD-GAP-17</t>
  </si>
  <si>
    <t xml:space="preserve">CD-GAP-18</t>
  </si>
  <si>
    <t xml:space="preserve">CD-GAP-19</t>
  </si>
  <si>
    <t xml:space="preserve">CD-GAP-20</t>
  </si>
  <si>
    <t xml:space="preserve">CD-GAP-21</t>
  </si>
  <si>
    <t xml:space="preserve">CD-GAP-22</t>
  </si>
  <si>
    <t xml:space="preserve">CD-GAP-23</t>
  </si>
  <si>
    <t xml:space="preserve">CD-GAP-24</t>
  </si>
  <si>
    <t xml:space="preserve">CD-GAP-25</t>
  </si>
  <si>
    <t xml:space="preserve">CD-GAP-26</t>
  </si>
  <si>
    <t xml:space="preserve">CD-GAP-27</t>
  </si>
  <si>
    <t xml:space="preserve">CD-GAP-28</t>
  </si>
  <si>
    <t xml:space="preserve">CD-GAP-29</t>
  </si>
  <si>
    <t xml:space="preserve">CD-GAP-30</t>
  </si>
</sst>
</file>

<file path=xl/styles.xml><?xml version="1.0" encoding="utf-8"?>
<styleSheet xmlns="http://schemas.openxmlformats.org/spreadsheetml/2006/main">
  <numFmts count="3">
    <numFmt numFmtId="164" formatCode="General"/>
    <numFmt numFmtId="165" formatCode="General"/>
    <numFmt numFmtId="166" formatCode="dd/mm/yyyy"/>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1F3864"/>
      <name val="Arial"/>
      <family val="0"/>
      <charset val="1"/>
    </font>
    <font>
      <b val="true"/>
      <sz val="10"/>
      <color rgb="FFFFFFFF"/>
      <name val="Arial"/>
      <family val="0"/>
      <charset val="1"/>
    </font>
    <font>
      <b val="true"/>
      <sz val="11"/>
      <name val="Arial"/>
      <family val="0"/>
      <charset val="1"/>
    </font>
    <font>
      <b val="true"/>
      <sz val="11"/>
      <color rgb="FFC00000"/>
      <name val="Arial"/>
      <family val="0"/>
      <charset val="1"/>
    </font>
    <font>
      <i val="true"/>
      <sz val="9"/>
      <color rgb="FF595959"/>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696B"/>
        </patternFill>
      </fill>
    </dxf>
    <dxf>
      <fill>
        <patternFill>
          <bgColor rgb="FFFFEB84"/>
        </patternFill>
      </fill>
    </dxf>
    <dxf>
      <fill>
        <patternFill>
          <bgColor rgb="FF63BE7B"/>
        </patternFill>
      </fill>
    </dxf>
    <dxf>
      <fill>
        <patternFill>
          <bgColor rgb="FFBFBFBF"/>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8696B"/>
      <rgbColor rgb="FF0066CC"/>
      <rgbColor rgb="FFB7B7B7"/>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69.75" hidden="false" customHeight="true" outlineLevel="0" collapsed="false">
      <c r="A8" s="4" t="s">
        <v>5</v>
      </c>
      <c r="B8" s="4"/>
    </row>
    <row r="10" customFormat="false" ht="15" hidden="false" customHeight="false" outlineLevel="0" collapsed="false">
      <c r="A10" s="3" t="s">
        <v>6</v>
      </c>
      <c r="B10" s="3"/>
    </row>
    <row r="11" customFormat="false" ht="55.5"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6"/>
    <col collapsed="false" customWidth="true" hidden="false" outlineLevel="0" max="4" min="4" style="0" width="14"/>
  </cols>
  <sheetData>
    <row r="1" customFormat="false" ht="27.75" hidden="false" customHeight="true" outlineLevel="0" collapsed="false">
      <c r="A1" s="1" t="s">
        <v>8</v>
      </c>
      <c r="B1" s="1"/>
      <c r="C1" s="1"/>
      <c r="D1" s="1"/>
    </row>
    <row r="2" customFormat="false" ht="19.5" hidden="false" customHeight="true" outlineLevel="0" collapsed="false">
      <c r="A2" s="2" t="s">
        <v>9</v>
      </c>
      <c r="B2" s="2"/>
      <c r="C2" s="2"/>
      <c r="D2" s="2"/>
    </row>
    <row r="4" customFormat="false" ht="15" hidden="false" customHeight="false" outlineLevel="0" collapsed="false">
      <c r="A4" s="5" t="s">
        <v>10</v>
      </c>
      <c r="C4" s="5" t="s">
        <v>11</v>
      </c>
    </row>
    <row r="5" customFormat="false" ht="15" hidden="false" customHeight="false" outlineLevel="0" collapsed="false">
      <c r="A5" s="6" t="s">
        <v>12</v>
      </c>
      <c r="B5" s="6" t="s">
        <v>13</v>
      </c>
      <c r="C5" s="6" t="s">
        <v>14</v>
      </c>
      <c r="D5" s="6" t="s">
        <v>13</v>
      </c>
    </row>
    <row r="6" customFormat="false" ht="15" hidden="false" customHeight="false" outlineLevel="0" collapsed="false">
      <c r="A6" s="7" t="s">
        <v>15</v>
      </c>
      <c r="B6" s="8" t="n">
        <f aca="false">COUNTIF('Gap Register'!G5:G34,A6)</f>
        <v>0</v>
      </c>
      <c r="C6" s="7" t="s">
        <v>16</v>
      </c>
      <c r="D6" s="8" t="n">
        <f aca="false">COUNTIF('Gap Register'!K5:K34,C6)</f>
        <v>0</v>
      </c>
    </row>
    <row r="7" customFormat="false" ht="15" hidden="false" customHeight="false" outlineLevel="0" collapsed="false">
      <c r="A7" s="7" t="s">
        <v>17</v>
      </c>
      <c r="B7" s="8" t="n">
        <f aca="false">COUNTIF('Gap Register'!G5:G34,A7)</f>
        <v>1</v>
      </c>
      <c r="C7" s="7" t="s">
        <v>18</v>
      </c>
      <c r="D7" s="8" t="n">
        <f aca="false">COUNTIF('Gap Register'!K5:K34,C7)</f>
        <v>1</v>
      </c>
    </row>
    <row r="8" customFormat="false" ht="15" hidden="false" customHeight="false" outlineLevel="0" collapsed="false">
      <c r="A8" s="7" t="s">
        <v>19</v>
      </c>
      <c r="B8" s="8" t="n">
        <f aca="false">COUNTIF('Gap Register'!G5:G34,A8)</f>
        <v>0</v>
      </c>
      <c r="C8" s="7" t="s">
        <v>20</v>
      </c>
      <c r="D8" s="8" t="n">
        <f aca="false">COUNTIF('Gap Register'!K5:K34,C8)</f>
        <v>0</v>
      </c>
    </row>
    <row r="9" customFormat="false" ht="15" hidden="false" customHeight="false" outlineLevel="0" collapsed="false">
      <c r="A9" s="7" t="s">
        <v>21</v>
      </c>
      <c r="B9" s="8" t="n">
        <f aca="false">COUNTIF('Gap Register'!G5:G34,A9)</f>
        <v>0</v>
      </c>
      <c r="C9" s="7" t="s">
        <v>22</v>
      </c>
      <c r="D9" s="8" t="n">
        <f aca="false">COUNTIF('Gap Register'!K5:K34,C9)</f>
        <v>0</v>
      </c>
    </row>
    <row r="11" customFormat="false" ht="15" hidden="false" customHeight="false" outlineLevel="0" collapsed="false">
      <c r="A11" s="5" t="s">
        <v>23</v>
      </c>
      <c r="B11" s="9" t="n">
        <f aca="false">COUNTA('Gap Register'!A5:A34)</f>
        <v>30</v>
      </c>
    </row>
    <row r="12" customFormat="false" ht="15" hidden="false" customHeight="false" outlineLevel="0" collapsed="false">
      <c r="A12" s="5" t="s">
        <v>24</v>
      </c>
      <c r="B12" s="10" t="n">
        <f aca="false">COUNTIFS('Gap Register'!G5:G34,"Critical",'Gap Register'!K5:K34,"&lt;&gt;Complete")+COUNTIFS('Gap Register'!G5:G34,"High",'Gap Register'!K5:K34,"&lt;&gt;Complete")</f>
        <v>1</v>
      </c>
    </row>
    <row r="14" customFormat="false" ht="15" hidden="false" customHeight="false" outlineLevel="0" collapsed="false">
      <c r="A14" s="11" t="s">
        <v>25</v>
      </c>
      <c r="B14" s="11"/>
      <c r="C14" s="11"/>
      <c r="D14" s="11"/>
    </row>
  </sheetData>
  <mergeCells count="3">
    <mergeCell ref="A1:D1"/>
    <mergeCell ref="A2:D2"/>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4"/>
    <col collapsed="false" customWidth="true" hidden="false" outlineLevel="0" max="5" min="4" style="0" width="30"/>
    <col collapsed="false" customWidth="true" hidden="false" outlineLevel="0" max="6" min="6" style="0" width="34"/>
    <col collapsed="false" customWidth="true" hidden="false" outlineLevel="0" max="7" min="7" style="0" width="12"/>
    <col collapsed="false" customWidth="true" hidden="false" outlineLevel="0" max="8" min="8" style="0" width="10"/>
    <col collapsed="false" customWidth="true" hidden="false" outlineLevel="0" max="11" min="9" style="0" width="14"/>
    <col collapsed="false" customWidth="true" hidden="false" outlineLevel="0" max="12" min="12" style="0" width="12"/>
  </cols>
  <sheetData>
    <row r="1" customFormat="false" ht="27.75" hidden="false" customHeight="true" outlineLevel="0" collapsed="false">
      <c r="A1" s="1" t="s">
        <v>26</v>
      </c>
      <c r="B1" s="1"/>
      <c r="C1" s="1"/>
      <c r="D1" s="1"/>
      <c r="E1" s="1"/>
      <c r="F1" s="1"/>
      <c r="G1" s="1"/>
      <c r="H1" s="1"/>
      <c r="I1" s="1"/>
      <c r="J1" s="1"/>
      <c r="K1" s="1"/>
      <c r="L1" s="1"/>
    </row>
    <row r="2" customFormat="false" ht="19.5" hidden="false" customHeight="true" outlineLevel="0" collapsed="false">
      <c r="A2" s="2" t="s">
        <v>27</v>
      </c>
      <c r="B2" s="2"/>
      <c r="C2" s="2"/>
      <c r="D2" s="2"/>
      <c r="E2" s="2"/>
      <c r="F2" s="2"/>
      <c r="G2" s="2"/>
      <c r="H2" s="2"/>
      <c r="I2" s="2"/>
      <c r="J2" s="2"/>
      <c r="K2" s="2"/>
      <c r="L2" s="2"/>
    </row>
    <row r="4" customFormat="false" ht="30" hidden="false" customHeight="true" outlineLevel="0" collapsed="false">
      <c r="A4" s="6" t="s">
        <v>28</v>
      </c>
      <c r="B4" s="6" t="s">
        <v>29</v>
      </c>
      <c r="C4" s="6" t="s">
        <v>30</v>
      </c>
      <c r="D4" s="6" t="s">
        <v>31</v>
      </c>
      <c r="E4" s="6" t="s">
        <v>32</v>
      </c>
      <c r="F4" s="6" t="s">
        <v>33</v>
      </c>
      <c r="G4" s="6" t="s">
        <v>12</v>
      </c>
      <c r="H4" s="6" t="s">
        <v>34</v>
      </c>
      <c r="I4" s="6" t="s">
        <v>35</v>
      </c>
      <c r="J4" s="6" t="s">
        <v>36</v>
      </c>
      <c r="K4" s="6" t="s">
        <v>14</v>
      </c>
      <c r="L4" s="6" t="s">
        <v>37</v>
      </c>
    </row>
    <row r="5" customFormat="false" ht="33.75" hidden="false" customHeight="true" outlineLevel="0" collapsed="false">
      <c r="A5" s="12" t="s">
        <v>38</v>
      </c>
      <c r="B5" s="7" t="s">
        <v>39</v>
      </c>
      <c r="C5" s="13" t="s">
        <v>40</v>
      </c>
      <c r="D5" s="13" t="s">
        <v>41</v>
      </c>
      <c r="E5" s="13" t="s">
        <v>42</v>
      </c>
      <c r="F5" s="13" t="s">
        <v>43</v>
      </c>
      <c r="G5" s="14" t="s">
        <v>17</v>
      </c>
      <c r="H5" s="14" t="s">
        <v>44</v>
      </c>
      <c r="I5" s="14" t="s">
        <v>45</v>
      </c>
      <c r="J5" s="15" t="s">
        <v>46</v>
      </c>
      <c r="K5" s="14" t="s">
        <v>18</v>
      </c>
      <c r="L5" s="14" t="str">
        <f aca="false">IF(K5="Complete","Closed",IF(OR(G5="Critical",AND(G5="High",K5="Not Started")),"Red",IF(OR(G5="High",G5="Medium"),"Amber",IF(G5="Low","Green",""))))</f>
        <v>Amber</v>
      </c>
    </row>
    <row r="6" customFormat="false" ht="33.75" hidden="false" customHeight="true" outlineLevel="0" collapsed="false">
      <c r="A6" s="16" t="s">
        <v>47</v>
      </c>
      <c r="B6" s="17"/>
      <c r="C6" s="18"/>
      <c r="D6" s="18"/>
      <c r="E6" s="18"/>
      <c r="F6" s="18"/>
      <c r="G6" s="19"/>
      <c r="H6" s="19"/>
      <c r="I6" s="19"/>
      <c r="J6" s="20"/>
      <c r="K6" s="19"/>
      <c r="L6" s="14" t="str">
        <f aca="false">IF(K6="Complete","Closed",IF(OR(G6="Critical",AND(G6="High",K6="Not Started")),"Red",IF(OR(G6="High",G6="Medium"),"Amber",IF(G6="Low","Green",""))))</f>
        <v/>
      </c>
    </row>
    <row r="7" customFormat="false" ht="33.75" hidden="false" customHeight="true" outlineLevel="0" collapsed="false">
      <c r="A7" s="12" t="s">
        <v>48</v>
      </c>
      <c r="B7" s="7"/>
      <c r="C7" s="13"/>
      <c r="D7" s="13"/>
      <c r="E7" s="13"/>
      <c r="F7" s="13"/>
      <c r="G7" s="14"/>
      <c r="H7" s="14"/>
      <c r="I7" s="14"/>
      <c r="J7" s="15"/>
      <c r="K7" s="14"/>
      <c r="L7" s="14" t="str">
        <f aca="false">IF(K7="Complete","Closed",IF(OR(G7="Critical",AND(G7="High",K7="Not Started")),"Red",IF(OR(G7="High",G7="Medium"),"Amber",IF(G7="Low","Green",""))))</f>
        <v/>
      </c>
    </row>
    <row r="8" customFormat="false" ht="33.75" hidden="false" customHeight="true" outlineLevel="0" collapsed="false">
      <c r="A8" s="16" t="s">
        <v>49</v>
      </c>
      <c r="B8" s="17"/>
      <c r="C8" s="18"/>
      <c r="D8" s="18"/>
      <c r="E8" s="18"/>
      <c r="F8" s="18"/>
      <c r="G8" s="19"/>
      <c r="H8" s="19"/>
      <c r="I8" s="19"/>
      <c r="J8" s="20"/>
      <c r="K8" s="19"/>
      <c r="L8" s="14" t="str">
        <f aca="false">IF(K8="Complete","Closed",IF(OR(G8="Critical",AND(G8="High",K8="Not Started")),"Red",IF(OR(G8="High",G8="Medium"),"Amber",IF(G8="Low","Green",""))))</f>
        <v/>
      </c>
    </row>
    <row r="9" customFormat="false" ht="33.75" hidden="false" customHeight="true" outlineLevel="0" collapsed="false">
      <c r="A9" s="12" t="s">
        <v>50</v>
      </c>
      <c r="B9" s="7"/>
      <c r="C9" s="13"/>
      <c r="D9" s="13"/>
      <c r="E9" s="13"/>
      <c r="F9" s="13"/>
      <c r="G9" s="14"/>
      <c r="H9" s="14"/>
      <c r="I9" s="14"/>
      <c r="J9" s="15"/>
      <c r="K9" s="14"/>
      <c r="L9" s="14" t="str">
        <f aca="false">IF(K9="Complete","Closed",IF(OR(G9="Critical",AND(G9="High",K9="Not Started")),"Red",IF(OR(G9="High",G9="Medium"),"Amber",IF(G9="Low","Green",""))))</f>
        <v/>
      </c>
    </row>
    <row r="10" customFormat="false" ht="33.75" hidden="false" customHeight="true" outlineLevel="0" collapsed="false">
      <c r="A10" s="16" t="s">
        <v>51</v>
      </c>
      <c r="B10" s="17"/>
      <c r="C10" s="18"/>
      <c r="D10" s="18"/>
      <c r="E10" s="18"/>
      <c r="F10" s="18"/>
      <c r="G10" s="19"/>
      <c r="H10" s="19"/>
      <c r="I10" s="19"/>
      <c r="J10" s="20"/>
      <c r="K10" s="19"/>
      <c r="L10" s="14" t="str">
        <f aca="false">IF(K10="Complete","Closed",IF(OR(G10="Critical",AND(G10="High",K10="Not Started")),"Red",IF(OR(G10="High",G10="Medium"),"Amber",IF(G10="Low","Green",""))))</f>
        <v/>
      </c>
    </row>
    <row r="11" customFormat="false" ht="33.75" hidden="false" customHeight="true" outlineLevel="0" collapsed="false">
      <c r="A11" s="12" t="s">
        <v>52</v>
      </c>
      <c r="B11" s="7"/>
      <c r="C11" s="13"/>
      <c r="D11" s="13"/>
      <c r="E11" s="13"/>
      <c r="F11" s="13"/>
      <c r="G11" s="14"/>
      <c r="H11" s="14"/>
      <c r="I11" s="14"/>
      <c r="J11" s="15"/>
      <c r="K11" s="14"/>
      <c r="L11" s="14" t="str">
        <f aca="false">IF(K11="Complete","Closed",IF(OR(G11="Critical",AND(G11="High",K11="Not Started")),"Red",IF(OR(G11="High",G11="Medium"),"Amber",IF(G11="Low","Green",""))))</f>
        <v/>
      </c>
    </row>
    <row r="12" customFormat="false" ht="33.75" hidden="false" customHeight="true" outlineLevel="0" collapsed="false">
      <c r="A12" s="16" t="s">
        <v>53</v>
      </c>
      <c r="B12" s="17"/>
      <c r="C12" s="18"/>
      <c r="D12" s="18"/>
      <c r="E12" s="18"/>
      <c r="F12" s="18"/>
      <c r="G12" s="19"/>
      <c r="H12" s="19"/>
      <c r="I12" s="19"/>
      <c r="J12" s="20"/>
      <c r="K12" s="19"/>
      <c r="L12" s="14" t="str">
        <f aca="false">IF(K12="Complete","Closed",IF(OR(G12="Critical",AND(G12="High",K12="Not Started")),"Red",IF(OR(G12="High",G12="Medium"),"Amber",IF(G12="Low","Green",""))))</f>
        <v/>
      </c>
    </row>
    <row r="13" customFormat="false" ht="33.75" hidden="false" customHeight="true" outlineLevel="0" collapsed="false">
      <c r="A13" s="12" t="s">
        <v>54</v>
      </c>
      <c r="B13" s="7"/>
      <c r="C13" s="13"/>
      <c r="D13" s="13"/>
      <c r="E13" s="13"/>
      <c r="F13" s="13"/>
      <c r="G13" s="14"/>
      <c r="H13" s="14"/>
      <c r="I13" s="14"/>
      <c r="J13" s="15"/>
      <c r="K13" s="14"/>
      <c r="L13" s="14" t="str">
        <f aca="false">IF(K13="Complete","Closed",IF(OR(G13="Critical",AND(G13="High",K13="Not Started")),"Red",IF(OR(G13="High",G13="Medium"),"Amber",IF(G13="Low","Green",""))))</f>
        <v/>
      </c>
    </row>
    <row r="14" customFormat="false" ht="33.75" hidden="false" customHeight="true" outlineLevel="0" collapsed="false">
      <c r="A14" s="16" t="s">
        <v>55</v>
      </c>
      <c r="B14" s="17"/>
      <c r="C14" s="18"/>
      <c r="D14" s="18"/>
      <c r="E14" s="18"/>
      <c r="F14" s="18"/>
      <c r="G14" s="19"/>
      <c r="H14" s="19"/>
      <c r="I14" s="19"/>
      <c r="J14" s="20"/>
      <c r="K14" s="19"/>
      <c r="L14" s="14" t="str">
        <f aca="false">IF(K14="Complete","Closed",IF(OR(G14="Critical",AND(G14="High",K14="Not Started")),"Red",IF(OR(G14="High",G14="Medium"),"Amber",IF(G14="Low","Green",""))))</f>
        <v/>
      </c>
    </row>
    <row r="15" customFormat="false" ht="33.75" hidden="false" customHeight="true" outlineLevel="0" collapsed="false">
      <c r="A15" s="12" t="s">
        <v>56</v>
      </c>
      <c r="B15" s="7"/>
      <c r="C15" s="13"/>
      <c r="D15" s="13"/>
      <c r="E15" s="13"/>
      <c r="F15" s="13"/>
      <c r="G15" s="14"/>
      <c r="H15" s="14"/>
      <c r="I15" s="14"/>
      <c r="J15" s="15"/>
      <c r="K15" s="14"/>
      <c r="L15" s="14" t="str">
        <f aca="false">IF(K15="Complete","Closed",IF(OR(G15="Critical",AND(G15="High",K15="Not Started")),"Red",IF(OR(G15="High",G15="Medium"),"Amber",IF(G15="Low","Green",""))))</f>
        <v/>
      </c>
    </row>
    <row r="16" customFormat="false" ht="33.75" hidden="false" customHeight="true" outlineLevel="0" collapsed="false">
      <c r="A16" s="16" t="s">
        <v>57</v>
      </c>
      <c r="B16" s="17"/>
      <c r="C16" s="18"/>
      <c r="D16" s="18"/>
      <c r="E16" s="18"/>
      <c r="F16" s="18"/>
      <c r="G16" s="19"/>
      <c r="H16" s="19"/>
      <c r="I16" s="19"/>
      <c r="J16" s="20"/>
      <c r="K16" s="19"/>
      <c r="L16" s="14" t="str">
        <f aca="false">IF(K16="Complete","Closed",IF(OR(G16="Critical",AND(G16="High",K16="Not Started")),"Red",IF(OR(G16="High",G16="Medium"),"Amber",IF(G16="Low","Green",""))))</f>
        <v/>
      </c>
    </row>
    <row r="17" customFormat="false" ht="33.75" hidden="false" customHeight="true" outlineLevel="0" collapsed="false">
      <c r="A17" s="12" t="s">
        <v>58</v>
      </c>
      <c r="B17" s="7"/>
      <c r="C17" s="13"/>
      <c r="D17" s="13"/>
      <c r="E17" s="13"/>
      <c r="F17" s="13"/>
      <c r="G17" s="14"/>
      <c r="H17" s="14"/>
      <c r="I17" s="14"/>
      <c r="J17" s="15"/>
      <c r="K17" s="14"/>
      <c r="L17" s="14" t="str">
        <f aca="false">IF(K17="Complete","Closed",IF(OR(G17="Critical",AND(G17="High",K17="Not Started")),"Red",IF(OR(G17="High",G17="Medium"),"Amber",IF(G17="Low","Green",""))))</f>
        <v/>
      </c>
    </row>
    <row r="18" customFormat="false" ht="33.75" hidden="false" customHeight="true" outlineLevel="0" collapsed="false">
      <c r="A18" s="16" t="s">
        <v>59</v>
      </c>
      <c r="B18" s="17"/>
      <c r="C18" s="18"/>
      <c r="D18" s="18"/>
      <c r="E18" s="18"/>
      <c r="F18" s="18"/>
      <c r="G18" s="19"/>
      <c r="H18" s="19"/>
      <c r="I18" s="19"/>
      <c r="J18" s="20"/>
      <c r="K18" s="19"/>
      <c r="L18" s="14" t="str">
        <f aca="false">IF(K18="Complete","Closed",IF(OR(G18="Critical",AND(G18="High",K18="Not Started")),"Red",IF(OR(G18="High",G18="Medium"),"Amber",IF(G18="Low","Green",""))))</f>
        <v/>
      </c>
    </row>
    <row r="19" customFormat="false" ht="33.75" hidden="false" customHeight="true" outlineLevel="0" collapsed="false">
      <c r="A19" s="12" t="s">
        <v>60</v>
      </c>
      <c r="B19" s="7"/>
      <c r="C19" s="13"/>
      <c r="D19" s="13"/>
      <c r="E19" s="13"/>
      <c r="F19" s="13"/>
      <c r="G19" s="14"/>
      <c r="H19" s="14"/>
      <c r="I19" s="14"/>
      <c r="J19" s="15"/>
      <c r="K19" s="14"/>
      <c r="L19" s="14" t="str">
        <f aca="false">IF(K19="Complete","Closed",IF(OR(G19="Critical",AND(G19="High",K19="Not Started")),"Red",IF(OR(G19="High",G19="Medium"),"Amber",IF(G19="Low","Green",""))))</f>
        <v/>
      </c>
    </row>
    <row r="20" customFormat="false" ht="33.75" hidden="false" customHeight="true" outlineLevel="0" collapsed="false">
      <c r="A20" s="16" t="s">
        <v>61</v>
      </c>
      <c r="B20" s="17"/>
      <c r="C20" s="18"/>
      <c r="D20" s="18"/>
      <c r="E20" s="18"/>
      <c r="F20" s="18"/>
      <c r="G20" s="19"/>
      <c r="H20" s="19"/>
      <c r="I20" s="19"/>
      <c r="J20" s="20"/>
      <c r="K20" s="19"/>
      <c r="L20" s="14" t="str">
        <f aca="false">IF(K20="Complete","Closed",IF(OR(G20="Critical",AND(G20="High",K20="Not Started")),"Red",IF(OR(G20="High",G20="Medium"),"Amber",IF(G20="Low","Green",""))))</f>
        <v/>
      </c>
    </row>
    <row r="21" customFormat="false" ht="33.75" hidden="false" customHeight="true" outlineLevel="0" collapsed="false">
      <c r="A21" s="12" t="s">
        <v>62</v>
      </c>
      <c r="B21" s="7"/>
      <c r="C21" s="13"/>
      <c r="D21" s="13"/>
      <c r="E21" s="13"/>
      <c r="F21" s="13"/>
      <c r="G21" s="14"/>
      <c r="H21" s="14"/>
      <c r="I21" s="14"/>
      <c r="J21" s="15"/>
      <c r="K21" s="14"/>
      <c r="L21" s="14" t="str">
        <f aca="false">IF(K21="Complete","Closed",IF(OR(G21="Critical",AND(G21="High",K21="Not Started")),"Red",IF(OR(G21="High",G21="Medium"),"Amber",IF(G21="Low","Green",""))))</f>
        <v/>
      </c>
    </row>
    <row r="22" customFormat="false" ht="33.75" hidden="false" customHeight="true" outlineLevel="0" collapsed="false">
      <c r="A22" s="16" t="s">
        <v>63</v>
      </c>
      <c r="B22" s="17"/>
      <c r="C22" s="18"/>
      <c r="D22" s="18"/>
      <c r="E22" s="18"/>
      <c r="F22" s="18"/>
      <c r="G22" s="19"/>
      <c r="H22" s="19"/>
      <c r="I22" s="19"/>
      <c r="J22" s="20"/>
      <c r="K22" s="19"/>
      <c r="L22" s="14" t="str">
        <f aca="false">IF(K22="Complete","Closed",IF(OR(G22="Critical",AND(G22="High",K22="Not Started")),"Red",IF(OR(G22="High",G22="Medium"),"Amber",IF(G22="Low","Green",""))))</f>
        <v/>
      </c>
    </row>
    <row r="23" customFormat="false" ht="33.75" hidden="false" customHeight="true" outlineLevel="0" collapsed="false">
      <c r="A23" s="12" t="s">
        <v>64</v>
      </c>
      <c r="B23" s="7"/>
      <c r="C23" s="13"/>
      <c r="D23" s="13"/>
      <c r="E23" s="13"/>
      <c r="F23" s="13"/>
      <c r="G23" s="14"/>
      <c r="H23" s="14"/>
      <c r="I23" s="14"/>
      <c r="J23" s="15"/>
      <c r="K23" s="14"/>
      <c r="L23" s="14" t="str">
        <f aca="false">IF(K23="Complete","Closed",IF(OR(G23="Critical",AND(G23="High",K23="Not Started")),"Red",IF(OR(G23="High",G23="Medium"),"Amber",IF(G23="Low","Green",""))))</f>
        <v/>
      </c>
    </row>
    <row r="24" customFormat="false" ht="33.75" hidden="false" customHeight="true" outlineLevel="0" collapsed="false">
      <c r="A24" s="16" t="s">
        <v>65</v>
      </c>
      <c r="B24" s="17"/>
      <c r="C24" s="18"/>
      <c r="D24" s="18"/>
      <c r="E24" s="18"/>
      <c r="F24" s="18"/>
      <c r="G24" s="19"/>
      <c r="H24" s="19"/>
      <c r="I24" s="19"/>
      <c r="J24" s="20"/>
      <c r="K24" s="19"/>
      <c r="L24" s="14" t="str">
        <f aca="false">IF(K24="Complete","Closed",IF(OR(G24="Critical",AND(G24="High",K24="Not Started")),"Red",IF(OR(G24="High",G24="Medium"),"Amber",IF(G24="Low","Green",""))))</f>
        <v/>
      </c>
    </row>
    <row r="25" customFormat="false" ht="33.75" hidden="false" customHeight="true" outlineLevel="0" collapsed="false">
      <c r="A25" s="12" t="s">
        <v>66</v>
      </c>
      <c r="B25" s="7"/>
      <c r="C25" s="13"/>
      <c r="D25" s="13"/>
      <c r="E25" s="13"/>
      <c r="F25" s="13"/>
      <c r="G25" s="14"/>
      <c r="H25" s="14"/>
      <c r="I25" s="14"/>
      <c r="J25" s="15"/>
      <c r="K25" s="14"/>
      <c r="L25" s="14" t="str">
        <f aca="false">IF(K25="Complete","Closed",IF(OR(G25="Critical",AND(G25="High",K25="Not Started")),"Red",IF(OR(G25="High",G25="Medium"),"Amber",IF(G25="Low","Green",""))))</f>
        <v/>
      </c>
    </row>
    <row r="26" customFormat="false" ht="33.75" hidden="false" customHeight="true" outlineLevel="0" collapsed="false">
      <c r="A26" s="16" t="s">
        <v>67</v>
      </c>
      <c r="B26" s="17"/>
      <c r="C26" s="18"/>
      <c r="D26" s="18"/>
      <c r="E26" s="18"/>
      <c r="F26" s="18"/>
      <c r="G26" s="19"/>
      <c r="H26" s="19"/>
      <c r="I26" s="19"/>
      <c r="J26" s="20"/>
      <c r="K26" s="19"/>
      <c r="L26" s="14" t="str">
        <f aca="false">IF(K26="Complete","Closed",IF(OR(G26="Critical",AND(G26="High",K26="Not Started")),"Red",IF(OR(G26="High",G26="Medium"),"Amber",IF(G26="Low","Green",""))))</f>
        <v/>
      </c>
    </row>
    <row r="27" customFormat="false" ht="33.75" hidden="false" customHeight="true" outlineLevel="0" collapsed="false">
      <c r="A27" s="12" t="s">
        <v>68</v>
      </c>
      <c r="B27" s="7"/>
      <c r="C27" s="13"/>
      <c r="D27" s="13"/>
      <c r="E27" s="13"/>
      <c r="F27" s="13"/>
      <c r="G27" s="14"/>
      <c r="H27" s="14"/>
      <c r="I27" s="14"/>
      <c r="J27" s="15"/>
      <c r="K27" s="14"/>
      <c r="L27" s="14" t="str">
        <f aca="false">IF(K27="Complete","Closed",IF(OR(G27="Critical",AND(G27="High",K27="Not Started")),"Red",IF(OR(G27="High",G27="Medium"),"Amber",IF(G27="Low","Green",""))))</f>
        <v/>
      </c>
    </row>
    <row r="28" customFormat="false" ht="33.75" hidden="false" customHeight="true" outlineLevel="0" collapsed="false">
      <c r="A28" s="16" t="s">
        <v>69</v>
      </c>
      <c r="B28" s="17"/>
      <c r="C28" s="18"/>
      <c r="D28" s="18"/>
      <c r="E28" s="18"/>
      <c r="F28" s="18"/>
      <c r="G28" s="19"/>
      <c r="H28" s="19"/>
      <c r="I28" s="19"/>
      <c r="J28" s="20"/>
      <c r="K28" s="19"/>
      <c r="L28" s="14" t="str">
        <f aca="false">IF(K28="Complete","Closed",IF(OR(G28="Critical",AND(G28="High",K28="Not Started")),"Red",IF(OR(G28="High",G28="Medium"),"Amber",IF(G28="Low","Green",""))))</f>
        <v/>
      </c>
    </row>
    <row r="29" customFormat="false" ht="33.75" hidden="false" customHeight="true" outlineLevel="0" collapsed="false">
      <c r="A29" s="12" t="s">
        <v>70</v>
      </c>
      <c r="B29" s="7"/>
      <c r="C29" s="13"/>
      <c r="D29" s="13"/>
      <c r="E29" s="13"/>
      <c r="F29" s="13"/>
      <c r="G29" s="14"/>
      <c r="H29" s="14"/>
      <c r="I29" s="14"/>
      <c r="J29" s="15"/>
      <c r="K29" s="14"/>
      <c r="L29" s="14" t="str">
        <f aca="false">IF(K29="Complete","Closed",IF(OR(G29="Critical",AND(G29="High",K29="Not Started")),"Red",IF(OR(G29="High",G29="Medium"),"Amber",IF(G29="Low","Green",""))))</f>
        <v/>
      </c>
    </row>
    <row r="30" customFormat="false" ht="33.75" hidden="false" customHeight="true" outlineLevel="0" collapsed="false">
      <c r="A30" s="16" t="s">
        <v>71</v>
      </c>
      <c r="B30" s="17"/>
      <c r="C30" s="18"/>
      <c r="D30" s="18"/>
      <c r="E30" s="18"/>
      <c r="F30" s="18"/>
      <c r="G30" s="19"/>
      <c r="H30" s="19"/>
      <c r="I30" s="19"/>
      <c r="J30" s="20"/>
      <c r="K30" s="19"/>
      <c r="L30" s="14" t="str">
        <f aca="false">IF(K30="Complete","Closed",IF(OR(G30="Critical",AND(G30="High",K30="Not Started")),"Red",IF(OR(G30="High",G30="Medium"),"Amber",IF(G30="Low","Green",""))))</f>
        <v/>
      </c>
    </row>
    <row r="31" customFormat="false" ht="33.75" hidden="false" customHeight="true" outlineLevel="0" collapsed="false">
      <c r="A31" s="12" t="s">
        <v>72</v>
      </c>
      <c r="B31" s="7"/>
      <c r="C31" s="13"/>
      <c r="D31" s="13"/>
      <c r="E31" s="13"/>
      <c r="F31" s="13"/>
      <c r="G31" s="14"/>
      <c r="H31" s="14"/>
      <c r="I31" s="14"/>
      <c r="J31" s="15"/>
      <c r="K31" s="14"/>
      <c r="L31" s="14" t="str">
        <f aca="false">IF(K31="Complete","Closed",IF(OR(G31="Critical",AND(G31="High",K31="Not Started")),"Red",IF(OR(G31="High",G31="Medium"),"Amber",IF(G31="Low","Green",""))))</f>
        <v/>
      </c>
    </row>
    <row r="32" customFormat="false" ht="33.75" hidden="false" customHeight="true" outlineLevel="0" collapsed="false">
      <c r="A32" s="16" t="s">
        <v>73</v>
      </c>
      <c r="B32" s="17"/>
      <c r="C32" s="18"/>
      <c r="D32" s="18"/>
      <c r="E32" s="18"/>
      <c r="F32" s="18"/>
      <c r="G32" s="19"/>
      <c r="H32" s="19"/>
      <c r="I32" s="19"/>
      <c r="J32" s="20"/>
      <c r="K32" s="19"/>
      <c r="L32" s="14" t="str">
        <f aca="false">IF(K32="Complete","Closed",IF(OR(G32="Critical",AND(G32="High",K32="Not Started")),"Red",IF(OR(G32="High",G32="Medium"),"Amber",IF(G32="Low","Green",""))))</f>
        <v/>
      </c>
    </row>
    <row r="33" customFormat="false" ht="33.75" hidden="false" customHeight="true" outlineLevel="0" collapsed="false">
      <c r="A33" s="12" t="s">
        <v>74</v>
      </c>
      <c r="B33" s="7"/>
      <c r="C33" s="13"/>
      <c r="D33" s="13"/>
      <c r="E33" s="13"/>
      <c r="F33" s="13"/>
      <c r="G33" s="14"/>
      <c r="H33" s="14"/>
      <c r="I33" s="14"/>
      <c r="J33" s="15"/>
      <c r="K33" s="14"/>
      <c r="L33" s="14" t="str">
        <f aca="false">IF(K33="Complete","Closed",IF(OR(G33="Critical",AND(G33="High",K33="Not Started")),"Red",IF(OR(G33="High",G33="Medium"),"Amber",IF(G33="Low","Green",""))))</f>
        <v/>
      </c>
    </row>
    <row r="34" customFormat="false" ht="33.75" hidden="false" customHeight="true" outlineLevel="0" collapsed="false">
      <c r="A34" s="16" t="s">
        <v>75</v>
      </c>
      <c r="B34" s="17"/>
      <c r="C34" s="18"/>
      <c r="D34" s="18"/>
      <c r="E34" s="18"/>
      <c r="F34" s="18"/>
      <c r="G34" s="19"/>
      <c r="H34" s="19"/>
      <c r="I34" s="19"/>
      <c r="J34" s="20"/>
      <c r="K34" s="19"/>
      <c r="L34" s="14" t="str">
        <f aca="false">IF(K34="Complete","Closed",IF(OR(G34="Critical",AND(G34="High",K34="Not Started")),"Red",IF(OR(G34="High",G34="Medium"),"Amber",IF(G34="Low","Green",""))))</f>
        <v/>
      </c>
    </row>
  </sheetData>
  <mergeCells count="2">
    <mergeCell ref="A1:L1"/>
    <mergeCell ref="A2:L2"/>
  </mergeCells>
  <conditionalFormatting sqref="L5:L34">
    <cfRule type="expression" priority="2" aboveAverage="0" equalAverage="0" bottom="0" percent="0" rank="0" text="" dxfId="0">
      <formula>L5="Red"</formula>
    </cfRule>
    <cfRule type="expression" priority="3" aboveAverage="0" equalAverage="0" bottom="0" percent="0" rank="0" text="" dxfId="1">
      <formula>L5="Amber"</formula>
    </cfRule>
    <cfRule type="expression" priority="4" aboveAverage="0" equalAverage="0" bottom="0" percent="0" rank="0" text="" dxfId="2">
      <formula>L5="Green"</formula>
    </cfRule>
    <cfRule type="expression" priority="5" aboveAverage="0" equalAverage="0" bottom="0" percent="0" rank="0" text="" dxfId="3">
      <formula>L5="Closed"</formula>
    </cfRule>
  </conditionalFormatting>
  <dataValidations count="4">
    <dataValidation allowBlank="true" errorStyle="stop" operator="between" showDropDown="false" showErrorMessage="false" showInputMessage="false" sqref="B5:B34" type="list">
      <formula1>"Cross-Cutting Rules,Products and Services,Price and Value,Consumer Understanding,Consumer Support"</formula1>
      <formula2>0</formula2>
    </dataValidation>
    <dataValidation allowBlank="true" errorStyle="stop" operator="between" showDropDown="false" showErrorMessage="false" showInputMessage="false" sqref="G5:G34" type="list">
      <formula1>"Critical,High,Medium,Low"</formula1>
      <formula2>0</formula2>
    </dataValidation>
    <dataValidation allowBlank="true" errorStyle="stop" operator="between" showDropDown="false" showErrorMessage="false" showInputMessage="false" sqref="H5:H34" type="list">
      <formula1>"P1,P2,P3,P4"</formula1>
      <formula2>0</formula2>
    </dataValidation>
    <dataValidation allowBlank="true" errorStyle="stop" operator="between" showDropDown="false" showErrorMessage="false" showInputMessage="false" sqref="K5:K34" type="list">
      <formula1>"Not Started,In Progress,Blocked,Complete"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2026-08-05T15:30:53Z</dcterms:created>
  <dc:creator>openpyxl</dc:creator>
  <dc:description/>
  <dc:language>en-US</dc:language>
  <cp:lastModifiedBy/>
  <dcterms:modified xsi:type="dcterms:W3CDTF">2026-08-05T15:30:53Z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