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Quarterly Revie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<sst xmlns="http://schemas.openxmlformats.org/spreadsheetml/2006/main" count="33" uniqueCount="30">
  <si>
    <t xml:space="preserve">CD-I5 · Quarterly Review Template</t>
  </si>
  <si>
    <t xml:space="preserve">Consumer Duty Implementation — Vulnerable Customers</t>
  </si>
  <si>
    <t xml:space="preserve">Purpose</t>
  </si>
  <si>
    <t xml:space="preserve">This template structures the quarterly review of the firm's vulnerable customer approach, consolidating identification volumes, outcomes, and emerging themes for the Consumer Duty Oversight Committee.</t>
  </si>
  <si>
    <t xml:space="preserve">How to use this workbook</t>
  </si>
  <si>
    <t xml:space="preserve">1. Complete one row per quarter per metric.
2. Compare against the prior quarter — trend calculates automatically.
3. Use the Commentary column to explain significant movements.
4. Present the completed review to the Consumer Duty Oversight Committee (CD-P1).</t>
  </si>
  <si>
    <t xml:space="preserve">Note</t>
  </si>
  <si>
    <t xml:space="preserve">This template should be read alongside the Monitoring Dashboard Specification (CD-I5), which defines the underlying MI feeding these metrics.</t>
  </si>
  <si>
    <t xml:space="preserve">CD-I5 · Vulnerable Customer Quarterly Review</t>
  </si>
  <si>
    <t xml:space="preserve">Trend calculates automatically vs the prior quarter</t>
  </si>
  <si>
    <t xml:space="preserve">Ref</t>
  </si>
  <si>
    <t xml:space="preserve">Metric</t>
  </si>
  <si>
    <t xml:space="preserve">This Quarter</t>
  </si>
  <si>
    <t xml:space="preserve">Prior Quarter</t>
  </si>
  <si>
    <t xml:space="preserve">Trend</t>
  </si>
  <si>
    <t xml:space="preserve">Commentary</t>
  </si>
  <si>
    <t xml:space="preserve">Quarter</t>
  </si>
  <si>
    <t xml:space="preserve">QR-01</t>
  </si>
  <si>
    <t xml:space="preserve">Customers flagged as vulnerable (% of active base)</t>
  </si>
  <si>
    <t xml:space="preserve">Increase reflects improved front-line identification following training rollout.</t>
  </si>
  <si>
    <t xml:space="preserve">Q1 2026</t>
  </si>
  <si>
    <t xml:space="preserve">QR-02</t>
  </si>
  <si>
    <t xml:space="preserve">Vulnerable customer complaints as % of total complaints</t>
  </si>
  <si>
    <t xml:space="preserve">Slight improvement; continues to be disproportionate to population share.</t>
  </si>
  <si>
    <t xml:space="preserve">QR-03</t>
  </si>
  <si>
    <t xml:space="preserve">Vulnerable customers referred to external support</t>
  </si>
  <si>
    <t xml:space="preserve">Increase driven by new External Support Organisations Directory (CD-I5) rollout.</t>
  </si>
  <si>
    <t xml:space="preserve">QR-04</t>
  </si>
  <si>
    <t xml:space="preserve">Staff completing vulnerability training (%)</t>
  </si>
  <si>
    <t xml:space="preserve">On track against 100% target by Q3 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</si>
</sst>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+0%;\-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1F3864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18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34"/>
    <col collapsed="false" customWidth="true" hidden="false" outlineLevel="0" max="7" min="7" style="0" width="12"/>
  </cols>
  <sheetData>
    <row r="1" customFormat="false" ht="27.75" hidden="false" customHeight="true" outlineLevel="0" collapsed="false">
      <c r="A1" s="1" t="s">
        <v>8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9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</row>
    <row r="5" customFormat="false" ht="33.75" hidden="false" customHeight="true" outlineLevel="0" collapsed="false">
      <c r="A5" s="6" t="s">
        <v>17</v>
      </c>
      <c r="B5" s="7" t="s">
        <v>18</v>
      </c>
      <c r="C5" s="6" t="n">
        <v>0.19</v>
      </c>
      <c r="D5" s="6" t="n">
        <v>0.16</v>
      </c>
      <c r="E5" s="8" t="n">
        <f aca="false">IFERROR((C5-D5)/D5,"")</f>
        <v>0.1875</v>
      </c>
      <c r="F5" s="7" t="s">
        <v>19</v>
      </c>
      <c r="G5" s="9" t="s">
        <v>20</v>
      </c>
    </row>
    <row r="6" customFormat="false" ht="33.75" hidden="false" customHeight="true" outlineLevel="0" collapsed="false">
      <c r="A6" s="10" t="s">
        <v>21</v>
      </c>
      <c r="B6" s="11" t="s">
        <v>22</v>
      </c>
      <c r="C6" s="10" t="n">
        <v>0.28</v>
      </c>
      <c r="D6" s="10" t="n">
        <v>0.31</v>
      </c>
      <c r="E6" s="12" t="n">
        <f aca="false">IFERROR((C6-D6)/D6,"")</f>
        <v>-0.096774193548387</v>
      </c>
      <c r="F6" s="11" t="s">
        <v>23</v>
      </c>
      <c r="G6" s="13" t="s">
        <v>20</v>
      </c>
    </row>
    <row r="7" customFormat="false" ht="33.75" hidden="false" customHeight="true" outlineLevel="0" collapsed="false">
      <c r="A7" s="6" t="s">
        <v>24</v>
      </c>
      <c r="B7" s="7" t="s">
        <v>25</v>
      </c>
      <c r="C7" s="6" t="n">
        <v>340</v>
      </c>
      <c r="D7" s="6" t="n">
        <v>210</v>
      </c>
      <c r="E7" s="8" t="n">
        <f aca="false">IFERROR((C7-D7)/D7,"")</f>
        <v>0.619047619047619</v>
      </c>
      <c r="F7" s="7" t="s">
        <v>26</v>
      </c>
      <c r="G7" s="9" t="s">
        <v>20</v>
      </c>
    </row>
    <row r="8" customFormat="false" ht="33.75" hidden="false" customHeight="true" outlineLevel="0" collapsed="false">
      <c r="A8" s="10" t="s">
        <v>27</v>
      </c>
      <c r="B8" s="11" t="s">
        <v>28</v>
      </c>
      <c r="C8" s="10" t="n">
        <v>0.72</v>
      </c>
      <c r="D8" s="10" t="n">
        <v>0.55</v>
      </c>
      <c r="E8" s="12" t="n">
        <f aca="false">IFERROR((C8-D8)/D8,"")</f>
        <v>0.309090909090909</v>
      </c>
      <c r="F8" s="11" t="s">
        <v>29</v>
      </c>
      <c r="G8" s="13" t="s">
        <v>20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2026-08-05T20:49:11Z</dcterms:created>
  <dc:creator>openpyxl</dc:creator>
  <dc:description/>
  <dc:language>en-US</dc:language>
  <cp:lastModifiedBy/>
  <dcterms:modified xsi:type="dcterms:W3CDTF">2026-08-05T20:49:11Z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