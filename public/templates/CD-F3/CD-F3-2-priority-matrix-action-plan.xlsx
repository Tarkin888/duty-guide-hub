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Priority Matrix" sheetId="3" state="visible" r:id="rId5"/>
    <sheet name="Priority Grid" sheetId="4" state="visible" r:id="rId6"/>
    <sheet name="Action Pla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<sst xmlns="http://schemas.openxmlformats.org/spreadsheetml/2006/main" count="99" uniqueCount="93">
  <si>
    <t xml:space="preserve">CD-F3 · Priority Matrix &amp; Action Plan</t>
  </si>
  <si>
    <t xml:space="preserve">Consumer Duty Implementation — Foundation Phase</t>
  </si>
  <si>
    <t xml:space="preserve">Purpose</t>
  </si>
  <si>
    <t xml:space="preserve">This tool converts the outputs of the Gap Analysis Framework (CD-F1) and Risk &amp; Impact Assessment (CD-F3) into a single prioritised action plan, using an Impact vs Effort matrix to sequence remediation and feed the Implementation Roadmap (CD-P3).</t>
  </si>
  <si>
    <t xml:space="preserve">How to use this workbook</t>
  </si>
  <si>
    <t xml:space="preserve">1. List each item (gap or risk) in the Priority Matrix tab, scoring Impact and Effort 1–5 — Priority calculates automatically.
2. Review the Priority Grid tab, which plots every item automatically (Effort on X axis, Impact on Y axis).
3. Transfer prioritised items into the Action Plan tab with owner, milestones, and target dates.
4. Track status through to completion; RAG calculates from status and target date.</t>
  </si>
  <si>
    <t xml:space="preserve">Priority logic</t>
  </si>
  <si>
    <t xml:space="preserve">Quick Win (high impact, low effort) — sequence first.
Major Project (high impact, high effort) — sequence with adequate resourcing and governance.
Fill-In (low impact, low effort) — opportunistic, lower sequencing priority.
Deprioritise (low impact, high effort) — reassess necessity before committing resource.</t>
  </si>
  <si>
    <t xml:space="preserve">CD-F3 · Priority &amp; Action Summary</t>
  </si>
  <si>
    <t xml:space="preserve">Auto-calculates from the Priority Matrix and Action Plan</t>
  </si>
  <si>
    <t xml:space="preserve">By Priority Quadrant</t>
  </si>
  <si>
    <t xml:space="preserve">Quadrant</t>
  </si>
  <si>
    <t xml:space="preserve">Count</t>
  </si>
  <si>
    <t xml:space="preserve">Quick Win</t>
  </si>
  <si>
    <t xml:space="preserve">Major Project</t>
  </si>
  <si>
    <t xml:space="preserve">Fill-In</t>
  </si>
  <si>
    <t xml:space="preserve">Deprioritise</t>
  </si>
  <si>
    <t xml:space="preserve">By Action Status</t>
  </si>
  <si>
    <t xml:space="preserve">Status</t>
  </si>
  <si>
    <t xml:space="preserve">Not Started</t>
  </si>
  <si>
    <t xml:space="preserve">In Progress</t>
  </si>
  <si>
    <t xml:space="preserve">Blocked</t>
  </si>
  <si>
    <t xml:space="preserve">Complete</t>
  </si>
  <si>
    <t xml:space="preserve">Quick Wins should be sequenced first; Major Projects feed the Implementation Roadmap (CD-P3) and Resource Allocation Plan (CD-P3).</t>
  </si>
  <si>
    <t xml:space="preserve">CD-F3 · Impact vs Effort Priority Matrix</t>
  </si>
  <si>
    <t xml:space="preserve">Score Impact and Effort 1 (Low) to 5 (High) — Priority calculates automatically</t>
  </si>
  <si>
    <t xml:space="preserve">Ref</t>
  </si>
  <si>
    <t xml:space="preserve">Source Ref
(Gap/Risk)</t>
  </si>
  <si>
    <t xml:space="preserve">Item Description</t>
  </si>
  <si>
    <t xml:space="preserve">Outcome / Area</t>
  </si>
  <si>
    <t xml:space="preserve">Impact
(1-5)</t>
  </si>
  <si>
    <t xml:space="preserve">Effort
(1-5)</t>
  </si>
  <si>
    <t xml:space="preserve">Priority</t>
  </si>
  <si>
    <t xml:space="preserve">Owner</t>
  </si>
  <si>
    <t xml:space="preserve">PRI-01</t>
  </si>
  <si>
    <t xml:space="preserve">CD-GAP-01</t>
  </si>
  <si>
    <t xml:space="preserve">Standardise the Fair Value Assessment framework across all products.</t>
  </si>
  <si>
    <t xml:space="preserve">Price and Value</t>
  </si>
  <si>
    <t xml:space="preserve">PRI-02</t>
  </si>
  <si>
    <t xml:space="preserve">CD-GAP-02</t>
  </si>
  <si>
    <t xml:space="preserve">Build a consolidated Consumer Duty outcomes MI pack for the Board.</t>
  </si>
  <si>
    <t xml:space="preserve">Governance and MI</t>
  </si>
  <si>
    <t xml:space="preserve">PRI-03</t>
  </si>
  <si>
    <t xml:space="preserve">CD-GAP-03</t>
  </si>
  <si>
    <t xml:space="preserve">Implement a centralised vulnerable customer identification process.</t>
  </si>
  <si>
    <t xml:space="preserve">Consumer Support</t>
  </si>
  <si>
    <t xml:space="preserve">PRI-04</t>
  </si>
  <si>
    <t xml:space="preserve">CD-GAP-04</t>
  </si>
  <si>
    <t xml:space="preserve">Standardise foreseeable harm assessment in product approval.</t>
  </si>
  <si>
    <t xml:space="preserve">Products and Services</t>
  </si>
  <si>
    <t xml:space="preserve">PRI-05</t>
  </si>
  <si>
    <t xml:space="preserve">CD-GAP-07</t>
  </si>
  <si>
    <t xml:space="preserve">Introduce real-time distribution monitoring against target market.</t>
  </si>
  <si>
    <t xml:space="preserve">PRI-06</t>
  </si>
  <si>
    <t xml:space="preserve">CD-GAP-09</t>
  </si>
  <si>
    <t xml:space="preserve">Introduce readability and comprehension testing for communications.</t>
  </si>
  <si>
    <t xml:space="preserve">Consumer Understanding</t>
  </si>
  <si>
    <t xml:space="preserve">PRI-07</t>
  </si>
  <si>
    <t xml:space="preserve">CD-GAP-12</t>
  </si>
  <si>
    <t xml:space="preserve">Remove barriers to switching/cancelling identified in the sludge audit.</t>
  </si>
  <si>
    <t xml:space="preserve">PRI-08</t>
  </si>
  <si>
    <t xml:space="preserve">CD-GAP-05</t>
  </si>
  <si>
    <t xml:space="preserve">Document how the firm supports customers' financial objectives.</t>
  </si>
  <si>
    <t xml:space="preserve">Cross-Cutting Rules</t>
  </si>
  <si>
    <t xml:space="preserve">CD-F3 · Impact / Effort Grid</t>
  </si>
  <si>
    <t xml:space="preserve">Auto-plots every item from the Priority Matrix — Effort (X axis) vs Impact (Y axis)</t>
  </si>
  <si>
    <t xml:space="preserve">Item</t>
  </si>
  <si>
    <t xml:space="preserve">Effort (X)</t>
  </si>
  <si>
    <t xml:space="preserve">Impact (Y)</t>
  </si>
  <si>
    <t xml:space="preserve">Quadrants (informal): top-left = Quick Win · top-right = Major Project · bottom-left = Fill-In · bottom-right = Deprioritise.</t>
  </si>
  <si>
    <t xml:space="preserve">CD-F3 · Action Plan Tracker</t>
  </si>
  <si>
    <t xml:space="preserve">Sequenced actions from the Priority Matrix, tracked through to completion</t>
  </si>
  <si>
    <t xml:space="preserve">Priority
Ref</t>
  </si>
  <si>
    <t xml:space="preserve">Action</t>
  </si>
  <si>
    <t xml:space="preserve">Start Date</t>
  </si>
  <si>
    <t xml:space="preserve">Target Date</t>
  </si>
  <si>
    <t xml:space="preserve">RAG</t>
  </si>
  <si>
    <t xml:space="preserve">ACT-01</t>
  </si>
  <si>
    <t xml:space="preserve">ACT-02</t>
  </si>
  <si>
    <t xml:space="preserve">ACT-03</t>
  </si>
  <si>
    <t xml:space="preserve">ACT-04</t>
  </si>
  <si>
    <t xml:space="preserve">ACT-05</t>
  </si>
  <si>
    <t xml:space="preserve">ACT-06</t>
  </si>
  <si>
    <t xml:space="preserve">ACT-07</t>
  </si>
  <si>
    <t xml:space="preserve">ACT-08</t>
  </si>
  <si>
    <t xml:space="preserve">ACT-09</t>
  </si>
  <si>
    <t xml:space="preserve">ACT-10</t>
  </si>
  <si>
    <t xml:space="preserve">ACT-11</t>
  </si>
  <si>
    <t xml:space="preserve">ACT-12</t>
  </si>
  <si>
    <t xml:space="preserve">ACT-13</t>
  </si>
  <si>
    <t xml:space="preserve">ACT-14</t>
  </si>
  <si>
    <t xml:space="preserve">ACT-15</t>
  </si>
  <si>
    <t xml:space="preserve">ACT-16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</si>
</sst>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63BE7B"/>
        </patternFill>
      </fill>
    </dxf>
    <dxf>
      <fill>
        <patternFill>
          <bgColor rgb="FFFFEB84"/>
        </patternFill>
      </fill>
    </dxf>
    <dxf>
      <fill>
        <patternFill>
          <bgColor rgb="FFBDD7EE"/>
        </patternFill>
      </fill>
    </dxf>
    <dxf>
      <fill>
        <patternFill>
          <bgColor rgb="FFD9D9D9"/>
        </patternFill>
      </fill>
    </dxf>
    <dxf>
      <fill>
        <patternFill>
          <bgColor rgb="FFF8696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2F2F2"/>
      <rgbColor rgb="FFCCFFFF"/>
      <rgbColor rgb="FF660066"/>
      <rgbColor rgb="FFF8696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Impact vs Effort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"Priority Items"</c:f>
              <c:strCache>
                <c:ptCount val="1"/>
                <c:pt idx="0">
                  <c:v>Priority Items</c:v>
                </c:pt>
              </c:strCache>
            </c:strRef>
          </c:tx>
          <c:spPr>
            <a:solidFill>
              <a:srgbClr val="1f3864"/>
            </a:solidFill>
            <a:ln w="28440">
              <a:noFill/>
            </a:ln>
          </c:spPr>
          <c:marker>
            <c:symbol val="diamond"/>
            <c:size val="8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'Priority Grid'!$B$5:$B$12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</c:numCache>
            </c:numRef>
          </c:xVal>
          <c:yVal>
            <c:numRef>
              <c:f>'Priority Grid'!$C$5:$C$12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</c:numCache>
            </c:numRef>
          </c:yVal>
          <c:smooth val="1"/>
        </c:ser>
        <c:axId val="17390275"/>
        <c:axId val="49094583"/>
      </c:scatterChart>
      <c:valAx>
        <c:axId val="17390275"/>
        <c:scaling>
          <c:orientation val="minMax"/>
          <c:max val="6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Effort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94583"/>
        <c:crosses val="autoZero"/>
        <c:crossBetween val="midCat"/>
      </c:valAx>
      <c:valAx>
        <c:axId val="49094583"/>
        <c:scaling>
          <c:orientation val="minMax"/>
          <c:max val="6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Impact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9027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16</xdr:col>
      <xdr:colOff>581400</xdr:colOff>
      <xdr:row>25</xdr:row>
      <xdr:rowOff>128520</xdr:rowOff>
    </xdr:to>
    <xdr:graphicFrame>
      <xdr:nvGraphicFramePr>
        <xdr:cNvPr id="0" name="Chart 1"/>
        <xdr:cNvGraphicFramePr/>
      </xdr:nvGraphicFramePr>
      <xdr:xfrm>
        <a:off x="5122440" y="790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55.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55.5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1" t="s">
        <v>8</v>
      </c>
      <c r="B1" s="1"/>
    </row>
    <row r="2" customFormat="false" ht="19.5" hidden="false" customHeight="true" outlineLevel="0" collapsed="false">
      <c r="A2" s="2" t="s">
        <v>9</v>
      </c>
      <c r="B2" s="2"/>
    </row>
    <row r="4" customFormat="false" ht="15" hidden="false" customHeight="false" outlineLevel="0" collapsed="false">
      <c r="A4" s="5" t="s">
        <v>10</v>
      </c>
    </row>
    <row r="5" customFormat="false" ht="15" hidden="false" customHeight="false" outlineLevel="0" collapsed="false">
      <c r="A5" s="6" t="s">
        <v>11</v>
      </c>
      <c r="B5" s="6" t="s">
        <v>12</v>
      </c>
    </row>
    <row r="6" customFormat="false" ht="15" hidden="false" customHeight="false" outlineLevel="0" collapsed="false">
      <c r="A6" s="7" t="s">
        <v>13</v>
      </c>
      <c r="B6" s="8" t="n">
        <f aca="false">COUNTIF('Priority Matrix'!G5:G12,A6)</f>
        <v>1</v>
      </c>
    </row>
    <row r="7" customFormat="false" ht="15" hidden="false" customHeight="false" outlineLevel="0" collapsed="false">
      <c r="A7" s="7" t="s">
        <v>14</v>
      </c>
      <c r="B7" s="8" t="n">
        <f aca="false">COUNTIF('Priority Matrix'!G5:G12,A7)</f>
        <v>4</v>
      </c>
    </row>
    <row r="8" customFormat="false" ht="15" hidden="false" customHeight="false" outlineLevel="0" collapsed="false">
      <c r="A8" s="7" t="s">
        <v>15</v>
      </c>
      <c r="B8" s="8" t="n">
        <f aca="false">COUNTIF('Priority Matrix'!G5:G12,A8)</f>
        <v>2</v>
      </c>
    </row>
    <row r="9" customFormat="false" ht="15" hidden="false" customHeight="false" outlineLevel="0" collapsed="false">
      <c r="A9" s="7" t="s">
        <v>16</v>
      </c>
      <c r="B9" s="8" t="n">
        <f aca="false">COUNTIF('Priority Matrix'!G5:G12,A9)</f>
        <v>1</v>
      </c>
    </row>
    <row r="11" customFormat="false" ht="15" hidden="false" customHeight="false" outlineLevel="0" collapsed="false">
      <c r="A11" s="5" t="s">
        <v>17</v>
      </c>
    </row>
    <row r="12" customFormat="false" ht="15" hidden="false" customHeight="false" outlineLevel="0" collapsed="false">
      <c r="A12" s="6" t="s">
        <v>18</v>
      </c>
      <c r="B12" s="6" t="s">
        <v>12</v>
      </c>
    </row>
    <row r="13" customFormat="false" ht="15" hidden="false" customHeight="false" outlineLevel="0" collapsed="false">
      <c r="A13" s="7" t="s">
        <v>19</v>
      </c>
      <c r="B13" s="8" t="n">
        <f aca="false">COUNTIF('Action Plan'!G5:G20,A13)</f>
        <v>0</v>
      </c>
    </row>
    <row r="14" customFormat="false" ht="15" hidden="false" customHeight="false" outlineLevel="0" collapsed="false">
      <c r="A14" s="7" t="s">
        <v>20</v>
      </c>
      <c r="B14" s="8" t="n">
        <f aca="false">COUNTIF('Action Plan'!G5:G20,A14)</f>
        <v>0</v>
      </c>
    </row>
    <row r="15" customFormat="false" ht="15" hidden="false" customHeight="false" outlineLevel="0" collapsed="false">
      <c r="A15" s="7" t="s">
        <v>21</v>
      </c>
      <c r="B15" s="8" t="n">
        <f aca="false">COUNTIF('Action Plan'!G5:G20,A15)</f>
        <v>0</v>
      </c>
    </row>
    <row r="16" customFormat="false" ht="15" hidden="false" customHeight="false" outlineLevel="0" collapsed="false">
      <c r="A16" s="7" t="s">
        <v>22</v>
      </c>
      <c r="B16" s="8" t="n">
        <f aca="false">COUNTIF('Action Plan'!G5:G20,A16)</f>
        <v>0</v>
      </c>
    </row>
    <row r="18" customFormat="false" ht="15" hidden="false" customHeight="false" outlineLevel="0" collapsed="false">
      <c r="A18" s="9" t="s">
        <v>23</v>
      </c>
      <c r="B18" s="9"/>
    </row>
  </sheetData>
  <mergeCells count="3">
    <mergeCell ref="A1:B1"/>
    <mergeCell ref="A2:B2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20"/>
    <col collapsed="false" customWidth="true" hidden="false" outlineLevel="0" max="6" min="5" style="0" width="10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25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6" t="s">
        <v>26</v>
      </c>
      <c r="B4" s="6" t="s">
        <v>27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6" t="s">
        <v>33</v>
      </c>
    </row>
    <row r="5" customFormat="false" ht="31.5" hidden="false" customHeight="true" outlineLevel="0" collapsed="false">
      <c r="A5" s="10" t="s">
        <v>34</v>
      </c>
      <c r="B5" s="10" t="s">
        <v>35</v>
      </c>
      <c r="C5" s="11" t="s">
        <v>36</v>
      </c>
      <c r="D5" s="11" t="s">
        <v>37</v>
      </c>
      <c r="E5" s="12" t="n">
        <v>5</v>
      </c>
      <c r="F5" s="12" t="n">
        <v>3</v>
      </c>
      <c r="G5" s="13" t="str">
        <f aca="false">IF(OR(E5="",F5=""),"",IF(AND(E5&gt;=4,F5&lt;=2),"Quick Win",IF(AND(E5&gt;=4,F5&gt;=3),"Major Project",IF(AND(E5&lt;=3,F5&lt;=2),"Fill-In","Deprioritise"))))</f>
        <v>Major Project</v>
      </c>
      <c r="H5" s="7"/>
    </row>
    <row r="6" customFormat="false" ht="31.5" hidden="false" customHeight="true" outlineLevel="0" collapsed="false">
      <c r="A6" s="14" t="s">
        <v>38</v>
      </c>
      <c r="B6" s="14" t="s">
        <v>39</v>
      </c>
      <c r="C6" s="15" t="s">
        <v>40</v>
      </c>
      <c r="D6" s="15" t="s">
        <v>41</v>
      </c>
      <c r="E6" s="16" t="n">
        <v>5</v>
      </c>
      <c r="F6" s="16" t="n">
        <v>3</v>
      </c>
      <c r="G6" s="17" t="str">
        <f aca="false">IF(OR(E6="",F6=""),"",IF(AND(E6&gt;=4,F6&lt;=2),"Quick Win",IF(AND(E6&gt;=4,F6&gt;=3),"Major Project",IF(AND(E6&lt;=3,F6&lt;=2),"Fill-In","Deprioritise"))))</f>
        <v>Major Project</v>
      </c>
      <c r="H6" s="18"/>
    </row>
    <row r="7" customFormat="false" ht="31.5" hidden="false" customHeight="true" outlineLevel="0" collapsed="false">
      <c r="A7" s="10" t="s">
        <v>42</v>
      </c>
      <c r="B7" s="10" t="s">
        <v>43</v>
      </c>
      <c r="C7" s="11" t="s">
        <v>44</v>
      </c>
      <c r="D7" s="11" t="s">
        <v>45</v>
      </c>
      <c r="E7" s="12" t="n">
        <v>5</v>
      </c>
      <c r="F7" s="12" t="n">
        <v>4</v>
      </c>
      <c r="G7" s="13" t="str">
        <f aca="false">IF(OR(E7="",F7=""),"",IF(AND(E7&gt;=4,F7&lt;=2),"Quick Win",IF(AND(E7&gt;=4,F7&gt;=3),"Major Project",IF(AND(E7&lt;=3,F7&lt;=2),"Fill-In","Deprioritise"))))</f>
        <v>Major Project</v>
      </c>
      <c r="H7" s="7"/>
    </row>
    <row r="8" customFormat="false" ht="31.5" hidden="false" customHeight="true" outlineLevel="0" collapsed="false">
      <c r="A8" s="14" t="s">
        <v>46</v>
      </c>
      <c r="B8" s="14" t="s">
        <v>47</v>
      </c>
      <c r="C8" s="15" t="s">
        <v>48</v>
      </c>
      <c r="D8" s="15" t="s">
        <v>49</v>
      </c>
      <c r="E8" s="16" t="n">
        <v>4</v>
      </c>
      <c r="F8" s="16" t="n">
        <v>2</v>
      </c>
      <c r="G8" s="17" t="str">
        <f aca="false">IF(OR(E8="",F8=""),"",IF(AND(E8&gt;=4,F8&lt;=2),"Quick Win",IF(AND(E8&gt;=4,F8&gt;=3),"Major Project",IF(AND(E8&lt;=3,F8&lt;=2),"Fill-In","Deprioritise"))))</f>
        <v>Quick Win</v>
      </c>
      <c r="H8" s="18"/>
    </row>
    <row r="9" customFormat="false" ht="31.5" hidden="false" customHeight="true" outlineLevel="0" collapsed="false">
      <c r="A9" s="10" t="s">
        <v>50</v>
      </c>
      <c r="B9" s="10" t="s">
        <v>51</v>
      </c>
      <c r="C9" s="11" t="s">
        <v>52</v>
      </c>
      <c r="D9" s="11" t="s">
        <v>49</v>
      </c>
      <c r="E9" s="12" t="n">
        <v>3</v>
      </c>
      <c r="F9" s="12" t="n">
        <v>4</v>
      </c>
      <c r="G9" s="13" t="str">
        <f aca="false">IF(OR(E9="",F9=""),"",IF(AND(E9&gt;=4,F9&lt;=2),"Quick Win",IF(AND(E9&gt;=4,F9&gt;=3),"Major Project",IF(AND(E9&lt;=3,F9&lt;=2),"Fill-In","Deprioritise"))))</f>
        <v>Deprioritise</v>
      </c>
      <c r="H9" s="7"/>
    </row>
    <row r="10" customFormat="false" ht="31.5" hidden="false" customHeight="true" outlineLevel="0" collapsed="false">
      <c r="A10" s="14" t="s">
        <v>53</v>
      </c>
      <c r="B10" s="14" t="s">
        <v>54</v>
      </c>
      <c r="C10" s="15" t="s">
        <v>55</v>
      </c>
      <c r="D10" s="15" t="s">
        <v>56</v>
      </c>
      <c r="E10" s="16" t="n">
        <v>3</v>
      </c>
      <c r="F10" s="16" t="n">
        <v>2</v>
      </c>
      <c r="G10" s="17" t="str">
        <f aca="false">IF(OR(E10="",F10=""),"",IF(AND(E10&gt;=4,F10&lt;=2),"Quick Win",IF(AND(E10&gt;=4,F10&gt;=3),"Major Project",IF(AND(E10&lt;=3,F10&lt;=2),"Fill-In","Deprioritise"))))</f>
        <v>Fill-In</v>
      </c>
      <c r="H10" s="18"/>
    </row>
    <row r="11" customFormat="false" ht="31.5" hidden="false" customHeight="true" outlineLevel="0" collapsed="false">
      <c r="A11" s="10" t="s">
        <v>57</v>
      </c>
      <c r="B11" s="10" t="s">
        <v>58</v>
      </c>
      <c r="C11" s="11" t="s">
        <v>59</v>
      </c>
      <c r="D11" s="11" t="s">
        <v>45</v>
      </c>
      <c r="E11" s="12" t="n">
        <v>4</v>
      </c>
      <c r="F11" s="12" t="n">
        <v>3</v>
      </c>
      <c r="G11" s="13" t="str">
        <f aca="false">IF(OR(E11="",F11=""),"",IF(AND(E11&gt;=4,F11&lt;=2),"Quick Win",IF(AND(E11&gt;=4,F11&gt;=3),"Major Project",IF(AND(E11&lt;=3,F11&lt;=2),"Fill-In","Deprioritise"))))</f>
        <v>Major Project</v>
      </c>
      <c r="H11" s="7"/>
    </row>
    <row r="12" customFormat="false" ht="31.5" hidden="false" customHeight="true" outlineLevel="0" collapsed="false">
      <c r="A12" s="14" t="s">
        <v>60</v>
      </c>
      <c r="B12" s="14" t="s">
        <v>61</v>
      </c>
      <c r="C12" s="15" t="s">
        <v>62</v>
      </c>
      <c r="D12" s="15" t="s">
        <v>63</v>
      </c>
      <c r="E12" s="16" t="n">
        <v>3</v>
      </c>
      <c r="F12" s="16" t="n">
        <v>2</v>
      </c>
      <c r="G12" s="17" t="str">
        <f aca="false">IF(OR(E12="",F12=""),"",IF(AND(E12&gt;=4,F12&lt;=2),"Quick Win",IF(AND(E12&gt;=4,F12&gt;=3),"Major Project",IF(AND(E12&lt;=3,F12&lt;=2),"Fill-In","Deprioritise"))))</f>
        <v>Fill-In</v>
      </c>
      <c r="H12" s="18"/>
    </row>
  </sheetData>
  <mergeCells count="2">
    <mergeCell ref="A1:H1"/>
    <mergeCell ref="A2:H2"/>
  </mergeCells>
  <conditionalFormatting sqref="G5:G12">
    <cfRule type="expression" priority="2" aboveAverage="0" equalAverage="0" bottom="0" percent="0" rank="0" text="" dxfId="0">
      <formula>G5="Quick Win"</formula>
    </cfRule>
    <cfRule type="expression" priority="3" aboveAverage="0" equalAverage="0" bottom="0" percent="0" rank="0" text="" dxfId="1">
      <formula>G5="Major Project"</formula>
    </cfRule>
    <cfRule type="expression" priority="4" aboveAverage="0" equalAverage="0" bottom="0" percent="0" rank="0" text="" dxfId="2">
      <formula>G5="Fill-In"</formula>
    </cfRule>
    <cfRule type="expression" priority="5" aboveAverage="0" equalAverage="0" bottom="0" percent="0" rank="0" text="" dxfId="3">
      <formula>G5="Deprioritise"</formula>
    </cfRule>
  </conditionalFormatting>
  <dataValidations count="2">
    <dataValidation allowBlank="true" errorStyle="stop" operator="between" showDropDown="false" showErrorMessage="false" showInputMessage="false" sqref="E5:F12" type="list">
      <formula1>"1,2,3,4,5"</formula1>
      <formula2>0</formula2>
    </dataValidation>
    <dataValidation allowBlank="true" errorStyle="stop" operator="between" showDropDown="false" showErrorMessage="false" showInputMessage="false" sqref="D5:D12" type="list">
      <formula1>"Cross-Cutting Rules,Products and Services,Price and Value,Consumer Understanding,Consumer Support,Governance and MI"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2"/>
  </cols>
  <sheetData>
    <row r="1" customFormat="false" ht="27.75" hidden="false" customHeight="true" outlineLevel="0" collapsed="false">
      <c r="A1" s="1" t="s">
        <v>64</v>
      </c>
      <c r="B1" s="1"/>
      <c r="C1" s="1"/>
    </row>
    <row r="2" customFormat="false" ht="19.5" hidden="false" customHeight="true" outlineLevel="0" collapsed="false">
      <c r="A2" s="2" t="s">
        <v>65</v>
      </c>
      <c r="B2" s="2"/>
      <c r="C2" s="2"/>
    </row>
    <row r="4" customFormat="false" ht="15" hidden="false" customHeight="false" outlineLevel="0" collapsed="false">
      <c r="A4" s="6" t="s">
        <v>66</v>
      </c>
      <c r="B4" s="6" t="s">
        <v>67</v>
      </c>
      <c r="C4" s="6" t="s">
        <v>68</v>
      </c>
    </row>
    <row r="5" customFormat="false" ht="15" hidden="false" customHeight="false" outlineLevel="0" collapsed="false">
      <c r="A5" s="7" t="str">
        <f aca="false">'Priority Matrix'!C5</f>
        <v>Standardise the Fair Value Assessment framework across all products.</v>
      </c>
      <c r="B5" s="10" t="n">
        <f aca="false">'Priority Matrix'!F5</f>
        <v>3</v>
      </c>
      <c r="C5" s="10" t="n">
        <f aca="false">'Priority Matrix'!E5</f>
        <v>5</v>
      </c>
    </row>
    <row r="6" customFormat="false" ht="15" hidden="false" customHeight="false" outlineLevel="0" collapsed="false">
      <c r="A6" s="7" t="str">
        <f aca="false">'Priority Matrix'!C6</f>
        <v>Build a consolidated Consumer Duty outcomes MI pack for the Board.</v>
      </c>
      <c r="B6" s="10" t="n">
        <f aca="false">'Priority Matrix'!F6</f>
        <v>3</v>
      </c>
      <c r="C6" s="10" t="n">
        <f aca="false">'Priority Matrix'!E6</f>
        <v>5</v>
      </c>
    </row>
    <row r="7" customFormat="false" ht="15" hidden="false" customHeight="false" outlineLevel="0" collapsed="false">
      <c r="A7" s="7" t="str">
        <f aca="false">'Priority Matrix'!C7</f>
        <v>Implement a centralised vulnerable customer identification process.</v>
      </c>
      <c r="B7" s="10" t="n">
        <f aca="false">'Priority Matrix'!F7</f>
        <v>4</v>
      </c>
      <c r="C7" s="10" t="n">
        <f aca="false">'Priority Matrix'!E7</f>
        <v>5</v>
      </c>
    </row>
    <row r="8" customFormat="false" ht="15" hidden="false" customHeight="false" outlineLevel="0" collapsed="false">
      <c r="A8" s="7" t="str">
        <f aca="false">'Priority Matrix'!C8</f>
        <v>Standardise foreseeable harm assessment in product approval.</v>
      </c>
      <c r="B8" s="10" t="n">
        <f aca="false">'Priority Matrix'!F8</f>
        <v>2</v>
      </c>
      <c r="C8" s="10" t="n">
        <f aca="false">'Priority Matrix'!E8</f>
        <v>4</v>
      </c>
    </row>
    <row r="9" customFormat="false" ht="15" hidden="false" customHeight="false" outlineLevel="0" collapsed="false">
      <c r="A9" s="7" t="str">
        <f aca="false">'Priority Matrix'!C9</f>
        <v>Introduce real-time distribution monitoring against target market.</v>
      </c>
      <c r="B9" s="10" t="n">
        <f aca="false">'Priority Matrix'!F9</f>
        <v>4</v>
      </c>
      <c r="C9" s="10" t="n">
        <f aca="false">'Priority Matrix'!E9</f>
        <v>3</v>
      </c>
    </row>
    <row r="10" customFormat="false" ht="15" hidden="false" customHeight="false" outlineLevel="0" collapsed="false">
      <c r="A10" s="7" t="str">
        <f aca="false">'Priority Matrix'!C10</f>
        <v>Introduce readability and comprehension testing for communications.</v>
      </c>
      <c r="B10" s="10" t="n">
        <f aca="false">'Priority Matrix'!F10</f>
        <v>2</v>
      </c>
      <c r="C10" s="10" t="n">
        <f aca="false">'Priority Matrix'!E10</f>
        <v>3</v>
      </c>
    </row>
    <row r="11" customFormat="false" ht="15" hidden="false" customHeight="false" outlineLevel="0" collapsed="false">
      <c r="A11" s="7" t="str">
        <f aca="false">'Priority Matrix'!C11</f>
        <v>Remove barriers to switching/cancelling identified in the sludge audit.</v>
      </c>
      <c r="B11" s="10" t="n">
        <f aca="false">'Priority Matrix'!F11</f>
        <v>3</v>
      </c>
      <c r="C11" s="10" t="n">
        <f aca="false">'Priority Matrix'!E11</f>
        <v>4</v>
      </c>
    </row>
    <row r="12" customFormat="false" ht="15" hidden="false" customHeight="false" outlineLevel="0" collapsed="false">
      <c r="A12" s="7" t="str">
        <f aca="false">'Priority Matrix'!C12</f>
        <v>Document how the firm supports customers' financial objectives.</v>
      </c>
      <c r="B12" s="10" t="n">
        <f aca="false">'Priority Matrix'!F12</f>
        <v>2</v>
      </c>
      <c r="C12" s="10" t="n">
        <f aca="false">'Priority Matrix'!E12</f>
        <v>3</v>
      </c>
    </row>
    <row r="14" customFormat="false" ht="15" hidden="false" customHeight="false" outlineLevel="0" collapsed="false">
      <c r="A14" s="9" t="s">
        <v>69</v>
      </c>
      <c r="B14" s="9"/>
      <c r="C14" s="9"/>
    </row>
  </sheetData>
  <mergeCells count="3">
    <mergeCell ref="A1:C1"/>
    <mergeCell ref="A2:C2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7" min="4" style="0" width="14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71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6" t="s">
        <v>26</v>
      </c>
      <c r="B4" s="6" t="s">
        <v>72</v>
      </c>
      <c r="C4" s="6" t="s">
        <v>73</v>
      </c>
      <c r="D4" s="6" t="s">
        <v>33</v>
      </c>
      <c r="E4" s="6" t="s">
        <v>74</v>
      </c>
      <c r="F4" s="6" t="s">
        <v>75</v>
      </c>
      <c r="G4" s="6" t="s">
        <v>18</v>
      </c>
      <c r="H4" s="6" t="s">
        <v>76</v>
      </c>
    </row>
    <row r="5" customFormat="false" ht="30" hidden="false" customHeight="true" outlineLevel="0" collapsed="false">
      <c r="A5" s="10" t="s">
        <v>77</v>
      </c>
      <c r="B5" s="10"/>
      <c r="C5" s="11"/>
      <c r="D5" s="7"/>
      <c r="E5" s="19"/>
      <c r="F5" s="19"/>
      <c r="G5" s="12"/>
      <c r="H5" s="13" t="str">
        <f aca="true">IF(G5="","",IF(G5="Complete","Green",IF(G5="Blocked","Red",IF(AND(F5&lt;&gt;"",F5&lt;TODAY(),G5&lt;&gt;"Complete"),"Red","Amber"))))</f>
        <v/>
      </c>
    </row>
    <row r="6" customFormat="false" ht="30" hidden="false" customHeight="true" outlineLevel="0" collapsed="false">
      <c r="A6" s="14" t="s">
        <v>78</v>
      </c>
      <c r="B6" s="14"/>
      <c r="C6" s="15"/>
      <c r="D6" s="18"/>
      <c r="E6" s="20"/>
      <c r="F6" s="20"/>
      <c r="G6" s="16"/>
      <c r="H6" s="17" t="str">
        <f aca="true">IF(G6="","",IF(G6="Complete","Green",IF(G6="Blocked","Red",IF(AND(F6&lt;&gt;"",F6&lt;TODAY(),G6&lt;&gt;"Complete"),"Red","Amber"))))</f>
        <v/>
      </c>
    </row>
    <row r="7" customFormat="false" ht="30" hidden="false" customHeight="true" outlineLevel="0" collapsed="false">
      <c r="A7" s="10" t="s">
        <v>79</v>
      </c>
      <c r="B7" s="10"/>
      <c r="C7" s="11"/>
      <c r="D7" s="7"/>
      <c r="E7" s="19"/>
      <c r="F7" s="19"/>
      <c r="G7" s="12"/>
      <c r="H7" s="13" t="str">
        <f aca="true">IF(G7="","",IF(G7="Complete","Green",IF(G7="Blocked","Red",IF(AND(F7&lt;&gt;"",F7&lt;TODAY(),G7&lt;&gt;"Complete"),"Red","Amber"))))</f>
        <v/>
      </c>
    </row>
    <row r="8" customFormat="false" ht="30" hidden="false" customHeight="true" outlineLevel="0" collapsed="false">
      <c r="A8" s="14" t="s">
        <v>80</v>
      </c>
      <c r="B8" s="14"/>
      <c r="C8" s="15"/>
      <c r="D8" s="18"/>
      <c r="E8" s="20"/>
      <c r="F8" s="20"/>
      <c r="G8" s="16"/>
      <c r="H8" s="17" t="str">
        <f aca="true">IF(G8="","",IF(G8="Complete","Green",IF(G8="Blocked","Red",IF(AND(F8&lt;&gt;"",F8&lt;TODAY(),G8&lt;&gt;"Complete"),"Red","Amber"))))</f>
        <v/>
      </c>
    </row>
    <row r="9" customFormat="false" ht="30" hidden="false" customHeight="true" outlineLevel="0" collapsed="false">
      <c r="A9" s="10" t="s">
        <v>81</v>
      </c>
      <c r="B9" s="10"/>
      <c r="C9" s="11"/>
      <c r="D9" s="7"/>
      <c r="E9" s="19"/>
      <c r="F9" s="19"/>
      <c r="G9" s="12"/>
      <c r="H9" s="13" t="str">
        <f aca="true">IF(G9="","",IF(G9="Complete","Green",IF(G9="Blocked","Red",IF(AND(F9&lt;&gt;"",F9&lt;TODAY(),G9&lt;&gt;"Complete"),"Red","Amber"))))</f>
        <v/>
      </c>
    </row>
    <row r="10" customFormat="false" ht="30" hidden="false" customHeight="true" outlineLevel="0" collapsed="false">
      <c r="A10" s="14" t="s">
        <v>82</v>
      </c>
      <c r="B10" s="14"/>
      <c r="C10" s="15"/>
      <c r="D10" s="18"/>
      <c r="E10" s="20"/>
      <c r="F10" s="20"/>
      <c r="G10" s="16"/>
      <c r="H10" s="17" t="str">
        <f aca="true">IF(G10="","",IF(G10="Complete","Green",IF(G10="Blocked","Red",IF(AND(F10&lt;&gt;"",F10&lt;TODAY(),G10&lt;&gt;"Complete"),"Red","Amber"))))</f>
        <v/>
      </c>
    </row>
    <row r="11" customFormat="false" ht="30" hidden="false" customHeight="true" outlineLevel="0" collapsed="false">
      <c r="A11" s="10" t="s">
        <v>83</v>
      </c>
      <c r="B11" s="10"/>
      <c r="C11" s="11"/>
      <c r="D11" s="7"/>
      <c r="E11" s="19"/>
      <c r="F11" s="19"/>
      <c r="G11" s="12"/>
      <c r="H11" s="13" t="str">
        <f aca="true">IF(G11="","",IF(G11="Complete","Green",IF(G11="Blocked","Red",IF(AND(F11&lt;&gt;"",F11&lt;TODAY(),G11&lt;&gt;"Complete"),"Red","Amber"))))</f>
        <v/>
      </c>
    </row>
    <row r="12" customFormat="false" ht="30" hidden="false" customHeight="true" outlineLevel="0" collapsed="false">
      <c r="A12" s="14" t="s">
        <v>84</v>
      </c>
      <c r="B12" s="14"/>
      <c r="C12" s="15"/>
      <c r="D12" s="18"/>
      <c r="E12" s="20"/>
      <c r="F12" s="20"/>
      <c r="G12" s="16"/>
      <c r="H12" s="17" t="str">
        <f aca="true">IF(G12="","",IF(G12="Complete","Green",IF(G12="Blocked","Red",IF(AND(F12&lt;&gt;"",F12&lt;TODAY(),G12&lt;&gt;"Complete"),"Red","Amber"))))</f>
        <v/>
      </c>
    </row>
    <row r="13" customFormat="false" ht="30" hidden="false" customHeight="true" outlineLevel="0" collapsed="false">
      <c r="A13" s="10" t="s">
        <v>85</v>
      </c>
      <c r="B13" s="10"/>
      <c r="C13" s="11"/>
      <c r="D13" s="7"/>
      <c r="E13" s="19"/>
      <c r="F13" s="19"/>
      <c r="G13" s="12"/>
      <c r="H13" s="13" t="str">
        <f aca="true">IF(G13="","",IF(G13="Complete","Green",IF(G13="Blocked","Red",IF(AND(F13&lt;&gt;"",F13&lt;TODAY(),G13&lt;&gt;"Complete"),"Red","Amber"))))</f>
        <v/>
      </c>
    </row>
    <row r="14" customFormat="false" ht="30" hidden="false" customHeight="true" outlineLevel="0" collapsed="false">
      <c r="A14" s="14" t="s">
        <v>86</v>
      </c>
      <c r="B14" s="14"/>
      <c r="C14" s="15"/>
      <c r="D14" s="18"/>
      <c r="E14" s="20"/>
      <c r="F14" s="20"/>
      <c r="G14" s="16"/>
      <c r="H14" s="17" t="str">
        <f aca="true">IF(G14="","",IF(G14="Complete","Green",IF(G14="Blocked","Red",IF(AND(F14&lt;&gt;"",F14&lt;TODAY(),G14&lt;&gt;"Complete"),"Red","Amber"))))</f>
        <v/>
      </c>
    </row>
    <row r="15" customFormat="false" ht="30" hidden="false" customHeight="true" outlineLevel="0" collapsed="false">
      <c r="A15" s="10" t="s">
        <v>87</v>
      </c>
      <c r="B15" s="10"/>
      <c r="C15" s="11"/>
      <c r="D15" s="7"/>
      <c r="E15" s="19"/>
      <c r="F15" s="19"/>
      <c r="G15" s="12"/>
      <c r="H15" s="13" t="str">
        <f aca="true">IF(G15="","",IF(G15="Complete","Green",IF(G15="Blocked","Red",IF(AND(F15&lt;&gt;"",F15&lt;TODAY(),G15&lt;&gt;"Complete"),"Red","Amber"))))</f>
        <v/>
      </c>
    </row>
    <row r="16" customFormat="false" ht="30" hidden="false" customHeight="true" outlineLevel="0" collapsed="false">
      <c r="A16" s="14" t="s">
        <v>88</v>
      </c>
      <c r="B16" s="14"/>
      <c r="C16" s="15"/>
      <c r="D16" s="18"/>
      <c r="E16" s="20"/>
      <c r="F16" s="20"/>
      <c r="G16" s="16"/>
      <c r="H16" s="17" t="str">
        <f aca="true">IF(G16="","",IF(G16="Complete","Green",IF(G16="Blocked","Red",IF(AND(F16&lt;&gt;"",F16&lt;TODAY(),G16&lt;&gt;"Complete"),"Red","Amber"))))</f>
        <v/>
      </c>
    </row>
    <row r="17" customFormat="false" ht="30" hidden="false" customHeight="true" outlineLevel="0" collapsed="false">
      <c r="A17" s="10" t="s">
        <v>89</v>
      </c>
      <c r="B17" s="10"/>
      <c r="C17" s="11"/>
      <c r="D17" s="7"/>
      <c r="E17" s="19"/>
      <c r="F17" s="19"/>
      <c r="G17" s="12"/>
      <c r="H17" s="13" t="str">
        <f aca="true">IF(G17="","",IF(G17="Complete","Green",IF(G17="Blocked","Red",IF(AND(F17&lt;&gt;"",F17&lt;TODAY(),G17&lt;&gt;"Complete"),"Red","Amber"))))</f>
        <v/>
      </c>
    </row>
    <row r="18" customFormat="false" ht="30" hidden="false" customHeight="true" outlineLevel="0" collapsed="false">
      <c r="A18" s="14" t="s">
        <v>90</v>
      </c>
      <c r="B18" s="14"/>
      <c r="C18" s="15"/>
      <c r="D18" s="18"/>
      <c r="E18" s="20"/>
      <c r="F18" s="20"/>
      <c r="G18" s="16"/>
      <c r="H18" s="17" t="str">
        <f aca="true">IF(G18="","",IF(G18="Complete","Green",IF(G18="Blocked","Red",IF(AND(F18&lt;&gt;"",F18&lt;TODAY(),G18&lt;&gt;"Complete"),"Red","Amber"))))</f>
        <v/>
      </c>
    </row>
    <row r="19" customFormat="false" ht="30" hidden="false" customHeight="true" outlineLevel="0" collapsed="false">
      <c r="A19" s="10" t="s">
        <v>91</v>
      </c>
      <c r="B19" s="10"/>
      <c r="C19" s="11"/>
      <c r="D19" s="7"/>
      <c r="E19" s="19"/>
      <c r="F19" s="19"/>
      <c r="G19" s="12"/>
      <c r="H19" s="13" t="str">
        <f aca="true">IF(G19="","",IF(G19="Complete","Green",IF(G19="Blocked","Red",IF(AND(F19&lt;&gt;"",F19&lt;TODAY(),G19&lt;&gt;"Complete"),"Red","Amber"))))</f>
        <v/>
      </c>
    </row>
    <row r="20" customFormat="false" ht="30" hidden="false" customHeight="true" outlineLevel="0" collapsed="false">
      <c r="A20" s="14" t="s">
        <v>92</v>
      </c>
      <c r="B20" s="14"/>
      <c r="C20" s="15"/>
      <c r="D20" s="18"/>
      <c r="E20" s="20"/>
      <c r="F20" s="20"/>
      <c r="G20" s="16"/>
      <c r="H20" s="17" t="str">
        <f aca="true">IF(G20="","",IF(G20="Complete","Green",IF(G20="Blocked","Red",IF(AND(F20&lt;&gt;"",F20&lt;TODAY(),G20&lt;&gt;"Complete"),"Red","Amber"))))</f>
        <v/>
      </c>
    </row>
  </sheetData>
  <mergeCells count="2">
    <mergeCell ref="A1:H1"/>
    <mergeCell ref="A2:H2"/>
  </mergeCells>
  <conditionalFormatting sqref="H5:H20">
    <cfRule type="expression" priority="2" aboveAverage="0" equalAverage="0" bottom="0" percent="0" rank="0" text="" dxfId="4">
      <formula>H5="Red"</formula>
    </cfRule>
    <cfRule type="expression" priority="3" aboveAverage="0" equalAverage="0" bottom="0" percent="0" rank="0" text="" dxfId="1">
      <formula>H5="Amber"</formula>
    </cfRule>
    <cfRule type="expression" priority="4" aboveAverage="0" equalAverage="0" bottom="0" percent="0" rank="0" text="" dxfId="0">
      <formula>H5="Green"</formula>
    </cfRule>
  </conditionalFormatting>
  <dataValidations count="1">
    <dataValidation allowBlank="true" errorStyle="stop" operator="between" showDropDown="false" showErrorMessage="false" showInputMessage="false" sqref="G5:G20" type="list">
      <formula1>"Not Started,In Progress,Blocked,Complete"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2026-08-05T15:39:56Z</dcterms:created>
  <dc:creator>openpyxl</dc:creator>
  <dc:description/>
  <dc:language>en-US</dc:language>
  <cp:lastModifiedBy/>
  <dcterms:modified xsi:type="dcterms:W3CDTF">2026-08-05T15:39:59Z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