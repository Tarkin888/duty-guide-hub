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Summary" sheetId="2" state="visible" r:id="rId4"/>
    <sheet name="Risk Register" sheetId="3" state="visible" r:id="rId5"/>
    <sheet name="Risk Heat Map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<sst xmlns="http://schemas.openxmlformats.org/spreadsheetml/2006/main" count="82" uniqueCount="76">
  <si>
    <t xml:space="preserve">CD-F3 · Risk &amp; Impact Assessment Template</t>
  </si>
  <si>
    <t xml:space="preserve">Consumer Duty Implementation — Foundation Phase</t>
  </si>
  <si>
    <t xml:space="preserve">Purpose</t>
  </si>
  <si>
    <t xml:space="preserve">This template assesses the likelihood and impact of risks to good customer outcomes identified through the Maturity Assessment (CD-F1) and Gap Analysis (CD-F1), producing an inherent and residual risk score that feeds the Priority Matrix &amp; Action Plan (CD-F3).</t>
  </si>
  <si>
    <t xml:space="preserve">How to use this workbook</t>
  </si>
  <si>
    <t xml:space="preserve">1. Log each risk in the Risk Register — one risk per row, linked to a Gap Ref where applicable.
2. Score inherent Likelihood and Impact (1–5) before controls; the Inherent Score and Rating calculate automatically.
3. Describe existing controls and rate their effectiveness.
4. Score residual Likelihood and Impact (after controls); the Residual Score and Rating calculate automatically.
5. Review the Risk Heat Map tab for a visual distribution of residual risk.</t>
  </si>
  <si>
    <t xml:space="preserve">Scoring guide</t>
  </si>
  <si>
    <t xml:space="preserve">Likelihood: 1 = Rare, 2 = Unlikely, 3 = Possible, 4 = Likely, 5 = Almost Certain.
Impact: 1 = Negligible customer/regulatory impact, 2 = Minor, 3 = Moderate, 4 = Major, 5 = Severe (widespread customer harm or significant regulatory action).
Rating bands: Score 1–6 = Low, 7–14 = Medium, 15–19 = High, 20–25 = Critical.</t>
  </si>
  <si>
    <t xml:space="preserve">CD-F3 · Risk Summary</t>
  </si>
  <si>
    <t xml:space="preserve">Inherent vs residual risk profile — auto-calculates from the Risk Register</t>
  </si>
  <si>
    <t xml:space="preserve">Rating</t>
  </si>
  <si>
    <t xml:space="preserve">Inherent Count</t>
  </si>
  <si>
    <t xml:space="preserve">Residual Count</t>
  </si>
  <si>
    <t xml:space="preserve">Critical</t>
  </si>
  <si>
    <t xml:space="preserve">High</t>
  </si>
  <si>
    <t xml:space="preserve">Medium</t>
  </si>
  <si>
    <t xml:space="preserve">Low</t>
  </si>
  <si>
    <t xml:space="preserve">Risks rated Critical or High (residual) should be prioritised in the Priority Matrix &amp; Action Plan (CD-F3).</t>
  </si>
  <si>
    <t xml:space="preserve">CD-F3 · Consumer Duty Risk &amp; Impact Assessment</t>
  </si>
  <si>
    <t xml:space="preserve">Inherent risk (before controls) and residual risk (after controls) — auto-scored</t>
  </si>
  <si>
    <t xml:space="preserve">Ref</t>
  </si>
  <si>
    <t xml:space="preserve">Linked Gap
Ref</t>
  </si>
  <si>
    <t xml:space="preserve">Risk Description</t>
  </si>
  <si>
    <t xml:space="preserve">Outcome / Area</t>
  </si>
  <si>
    <t xml:space="preserve">Inh.
Likeli-
hood</t>
  </si>
  <si>
    <t xml:space="preserve">Inh.
Impact</t>
  </si>
  <si>
    <t xml:space="preserve">Inherent
Score</t>
  </si>
  <si>
    <t xml:space="preserve">Inherent
Rating</t>
  </si>
  <si>
    <t xml:space="preserve">Existing Controls</t>
  </si>
  <si>
    <t xml:space="preserve">Control
Effectiveness</t>
  </si>
  <si>
    <t xml:space="preserve">Res.
Likeli-
hood</t>
  </si>
  <si>
    <t xml:space="preserve">Res.
Impact</t>
  </si>
  <si>
    <t xml:space="preserve">Residual
Score</t>
  </si>
  <si>
    <t xml:space="preserve">Residual
Rating</t>
  </si>
  <si>
    <t xml:space="preserve">Owner</t>
  </si>
  <si>
    <t xml:space="preserve">Review Date</t>
  </si>
  <si>
    <t xml:space="preserve">RISK-01</t>
  </si>
  <si>
    <t xml:space="preserve">CD-GAP-01</t>
  </si>
  <si>
    <t xml:space="preserve">Inconsistent Fair Value Assessments could result in customers being charged unfairly.</t>
  </si>
  <si>
    <t xml:space="preserve">Price and Value</t>
  </si>
  <si>
    <t xml:space="preserve">Manual FVA review by product owners; no central QA.</t>
  </si>
  <si>
    <t xml:space="preserve">Partially Effective</t>
  </si>
  <si>
    <t xml:space="preserve">RISK-02</t>
  </si>
  <si>
    <t xml:space="preserve">CD-GAP-02</t>
  </si>
  <si>
    <t xml:space="preserve">Insufficient outcomes MI could mean poor customer outcomes go undetected by the Board.</t>
  </si>
  <si>
    <t xml:space="preserve">Governance and MI</t>
  </si>
  <si>
    <t xml:space="preserve">Quarterly MI pack (limited metrics); Board escalation ad hoc.</t>
  </si>
  <si>
    <t xml:space="preserve">RISK-03</t>
  </si>
  <si>
    <t xml:space="preserve">CD-GAP-03</t>
  </si>
  <si>
    <t xml:space="preserve">Vulnerable customers may not be identified, resulting in inappropriate treatment.</t>
  </si>
  <si>
    <t xml:space="preserve">Consumer Support</t>
  </si>
  <si>
    <t xml:space="preserve">Front-line training (informal); no systematic flagging.</t>
  </si>
  <si>
    <t xml:space="preserve">Ineffective</t>
  </si>
  <si>
    <t xml:space="preserve">RISK-04</t>
  </si>
  <si>
    <t xml:space="preserve">CD-GAP-04</t>
  </si>
  <si>
    <t xml:space="preserve">Products may cause foreseeable harm not identified during design/approval.</t>
  </si>
  <si>
    <t xml:space="preserve">Products and Services</t>
  </si>
  <si>
    <t xml:space="preserve">Product approval checklist; harm assessment not standardised.</t>
  </si>
  <si>
    <t xml:space="preserve">RISK-05</t>
  </si>
  <si>
    <t xml:space="preserve">CD-GAP-07</t>
  </si>
  <si>
    <t xml:space="preserve">Distribution outside the target market could mean unsuitable products reach customers.</t>
  </si>
  <si>
    <t xml:space="preserve">Annual distributor review; no real-time monitoring.</t>
  </si>
  <si>
    <t xml:space="preserve">RISK-06</t>
  </si>
  <si>
    <t xml:space="preserve">CD-GAP-09</t>
  </si>
  <si>
    <t xml:space="preserve">Customers may not understand key communications, leading to poor decisions.</t>
  </si>
  <si>
    <t xml:space="preserve">Consumer Understanding</t>
  </si>
  <si>
    <t xml:space="preserve">Legal/compliance sign-off; no readability or comprehension testing.</t>
  </si>
  <si>
    <t xml:space="preserve">RISK-07</t>
  </si>
  <si>
    <t xml:space="preserve">CD-GAP-12</t>
  </si>
  <si>
    <t xml:space="preserve">Barriers to switching/cancelling ('sludge practices') could disadvantage customers.</t>
  </si>
  <si>
    <t xml:space="preserve">No specific controls identified.</t>
  </si>
  <si>
    <t xml:space="preserve">Not Yet Tested</t>
  </si>
  <si>
    <t xml:space="preserve">CD-F3 · Residual Risk Heat Map</t>
  </si>
  <si>
    <t xml:space="preserve">5x5 Likelihood/Impact grid — count of risks in each cell, from the Risk Register</t>
  </si>
  <si>
    <t xml:space="preserve">Likelihood \ Impact</t>
  </si>
  <si>
    <t xml:space="preserve">Rows = Likelihood (1 Rare – 5 Almost Certain); Columns = Impact (1 Negligible – 5 Severe). Cell values are counts of residual risks scored at that combination.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</si>
</sst>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dd/mm/yyyy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11"/>
      <color rgb="FFFFFFFF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5C8A"/>
        <bgColor rgb="FF595959"/>
      </patternFill>
    </fill>
    <fill>
      <patternFill patternType="solid">
        <fgColor rgb="FFF2F2F2"/>
        <bgColor rgb="FFFFFFFF"/>
      </patternFill>
    </fill>
    <fill>
      <patternFill patternType="solid">
        <fgColor rgb="FF63BE7B"/>
        <bgColor rgb="FF339966"/>
      </patternFill>
    </fill>
    <fill>
      <patternFill patternType="solid">
        <fgColor rgb="FFFFEB84"/>
        <bgColor rgb="FFFFC7A1"/>
      </patternFill>
    </fill>
    <fill>
      <patternFill patternType="solid">
        <fgColor rgb="FFFFC7A1"/>
        <bgColor rgb="FFFFEB84"/>
      </patternFill>
    </fill>
    <fill>
      <patternFill patternType="solid">
        <fgColor rgb="FFF8696B"/>
        <bgColor rgb="FFFF66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4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0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4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0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0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0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>
          <bgColor rgb="FFF8696B"/>
        </patternFill>
      </fill>
    </dxf>
    <dxf>
      <fill>
        <patternFill>
          <bgColor rgb="FFFFC7A1"/>
        </patternFill>
      </fill>
    </dxf>
    <dxf>
      <fill>
        <patternFill>
          <bgColor rgb="FFFFEB84"/>
        </patternFill>
      </fill>
    </dxf>
    <dxf>
      <fill>
        <patternFill>
          <bgColor rgb="FF63BE7B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2F2F2"/>
      <rgbColor rgb="FFCCFFFF"/>
      <rgbColor rgb="FF660066"/>
      <rgbColor rgb="FFF8696B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B84"/>
      <rgbColor rgb="FF99CCFF"/>
      <rgbColor rgb="FFFF99CC"/>
      <rgbColor rgb="FFCC99FF"/>
      <rgbColor rgb="FFFFC7A1"/>
      <rgbColor rgb="FF3366FF"/>
      <rgbColor rgb="FF63BE7B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2E5C8A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5"/>
  </cols>
  <sheetData>
    <row r="1" customFormat="false" ht="27.75" hidden="false" customHeight="true" outlineLevel="0" collapsed="false">
      <c r="A1" s="1" t="s">
        <v>0</v>
      </c>
      <c r="B1" s="1"/>
    </row>
    <row r="2" customFormat="false" ht="19.5" hidden="false" customHeight="true" outlineLevel="0" collapsed="false">
      <c r="A2" s="2" t="s">
        <v>1</v>
      </c>
      <c r="B2" s="2"/>
    </row>
    <row r="4" customFormat="false" ht="15" hidden="false" customHeight="false" outlineLevel="0" collapsed="false">
      <c r="A4" s="3" t="s">
        <v>2</v>
      </c>
      <c r="B4" s="3"/>
    </row>
    <row r="5" customFormat="false" ht="18" hidden="false" customHeight="true" outlineLevel="0" collapsed="false">
      <c r="A5" s="4" t="s">
        <v>3</v>
      </c>
      <c r="B5" s="4"/>
    </row>
    <row r="7" customFormat="false" ht="15" hidden="false" customHeight="false" outlineLevel="0" collapsed="false">
      <c r="A7" s="3" t="s">
        <v>4</v>
      </c>
      <c r="B7" s="3"/>
    </row>
    <row r="8" customFormat="false" ht="69.75" hidden="false" customHeight="true" outlineLevel="0" collapsed="false">
      <c r="A8" s="4" t="s">
        <v>5</v>
      </c>
      <c r="B8" s="4"/>
    </row>
    <row r="10" customFormat="false" ht="15" hidden="false" customHeight="false" outlineLevel="0" collapsed="false">
      <c r="A10" s="3" t="s">
        <v>6</v>
      </c>
      <c r="B10" s="3"/>
    </row>
    <row r="11" customFormat="false" ht="42" hidden="false" customHeight="true" outlineLevel="0" collapsed="false">
      <c r="A11" s="4" t="s">
        <v>7</v>
      </c>
      <c r="B11" s="4"/>
    </row>
  </sheetData>
  <mergeCells count="8">
    <mergeCell ref="A1:B1"/>
    <mergeCell ref="A2:B2"/>
    <mergeCell ref="A4:B4"/>
    <mergeCell ref="A5:B5"/>
    <mergeCell ref="A7:B7"/>
    <mergeCell ref="A8:B8"/>
    <mergeCell ref="A10:B10"/>
    <mergeCell ref="A11:B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&amp;C© 2026 xPercept.ai. Copyright and confidential. Do not distribute.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3" min="2" style="0" width="16"/>
  </cols>
  <sheetData>
    <row r="1" customFormat="false" ht="27.75" hidden="false" customHeight="true" outlineLevel="0" collapsed="false">
      <c r="A1" s="1" t="s">
        <v>8</v>
      </c>
      <c r="B1" s="1"/>
      <c r="C1" s="1"/>
    </row>
    <row r="2" customFormat="false" ht="19.5" hidden="false" customHeight="true" outlineLevel="0" collapsed="false">
      <c r="A2" s="2" t="s">
        <v>9</v>
      </c>
      <c r="B2" s="2"/>
      <c r="C2" s="2"/>
    </row>
    <row r="4" customFormat="false" ht="15" hidden="false" customHeight="false" outlineLevel="0" collapsed="false">
      <c r="A4" s="5" t="s">
        <v>10</v>
      </c>
      <c r="B4" s="5" t="s">
        <v>11</v>
      </c>
      <c r="C4" s="5" t="s">
        <v>12</v>
      </c>
    </row>
    <row r="5" customFormat="false" ht="15" hidden="false" customHeight="false" outlineLevel="0" collapsed="false">
      <c r="A5" s="6" t="s">
        <v>13</v>
      </c>
      <c r="B5" s="7" t="n">
        <f aca="false">COUNTIF('Risk Register'!H5:H11,A5)</f>
        <v>2</v>
      </c>
      <c r="C5" s="7" t="n">
        <f aca="false">COUNTIF('Risk Register'!N5:N11,A5)</f>
        <v>0</v>
      </c>
    </row>
    <row r="6" customFormat="false" ht="15" hidden="false" customHeight="false" outlineLevel="0" collapsed="false">
      <c r="A6" s="6" t="s">
        <v>14</v>
      </c>
      <c r="B6" s="7" t="n">
        <f aca="false">COUNTIF('Risk Register'!H5:H11,A6)</f>
        <v>1</v>
      </c>
      <c r="C6" s="7" t="n">
        <f aca="false">COUNTIF('Risk Register'!N5:N11,A6)</f>
        <v>1</v>
      </c>
    </row>
    <row r="7" customFormat="false" ht="15" hidden="false" customHeight="false" outlineLevel="0" collapsed="false">
      <c r="A7" s="6" t="s">
        <v>15</v>
      </c>
      <c r="B7" s="7" t="n">
        <f aca="false">COUNTIF('Risk Register'!H5:H11,A7)</f>
        <v>4</v>
      </c>
      <c r="C7" s="7" t="n">
        <f aca="false">COUNTIF('Risk Register'!N5:N11,A7)</f>
        <v>5</v>
      </c>
    </row>
    <row r="8" customFormat="false" ht="15" hidden="false" customHeight="false" outlineLevel="0" collapsed="false">
      <c r="A8" s="6" t="s">
        <v>16</v>
      </c>
      <c r="B8" s="7" t="n">
        <f aca="false">COUNTIF('Risk Register'!H5:H11,A8)</f>
        <v>0</v>
      </c>
      <c r="C8" s="7" t="n">
        <f aca="false">COUNTIF('Risk Register'!N5:N11,A8)</f>
        <v>1</v>
      </c>
    </row>
    <row r="10" customFormat="false" ht="15" hidden="false" customHeight="false" outlineLevel="0" collapsed="false">
      <c r="A10" s="8" t="s">
        <v>17</v>
      </c>
      <c r="B10" s="8"/>
      <c r="C10" s="8"/>
    </row>
  </sheetData>
  <mergeCells count="3">
    <mergeCell ref="A1:C1"/>
    <mergeCell ref="A2:C2"/>
    <mergeCell ref="A10:C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&amp;C© 2026 xPercept.ai. Copyright and confidential. Do not distribute.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4"/>
    <col collapsed="false" customWidth="true" hidden="false" outlineLevel="0" max="3" min="3" style="0" width="32"/>
    <col collapsed="false" customWidth="true" hidden="false" outlineLevel="0" max="4" min="4" style="0" width="18"/>
    <col collapsed="false" customWidth="true" hidden="false" outlineLevel="0" max="6" min="5" style="0" width="9"/>
    <col collapsed="false" customWidth="true" hidden="false" outlineLevel="0" max="8" min="7" style="0" width="10"/>
    <col collapsed="false" customWidth="true" hidden="false" outlineLevel="0" max="9" min="9" style="0" width="26"/>
    <col collapsed="false" customWidth="true" hidden="false" outlineLevel="0" max="10" min="10" style="0" width="12"/>
    <col collapsed="false" customWidth="true" hidden="false" outlineLevel="0" max="12" min="11" style="0" width="9"/>
    <col collapsed="false" customWidth="true" hidden="false" outlineLevel="0" max="14" min="13" style="0" width="10"/>
    <col collapsed="false" customWidth="true" hidden="false" outlineLevel="0" max="15" min="15" style="0" width="14"/>
    <col collapsed="false" customWidth="true" hidden="false" outlineLevel="0" max="16" min="16" style="0" width="12"/>
  </cols>
  <sheetData>
    <row r="1" customFormat="false" ht="27.75" hidden="false" customHeight="true" outlineLevel="0" collapsed="false">
      <c r="A1" s="1" t="s">
        <v>18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customFormat="false" ht="19.5" hidden="false" customHeight="true" outlineLevel="0" collapsed="false">
      <c r="A2" s="2" t="s">
        <v>19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4" customFormat="false" ht="42" hidden="false" customHeight="true" outlineLevel="0" collapsed="false">
      <c r="A4" s="5" t="s">
        <v>20</v>
      </c>
      <c r="B4" s="5" t="s">
        <v>21</v>
      </c>
      <c r="C4" s="5" t="s">
        <v>22</v>
      </c>
      <c r="D4" s="5" t="s">
        <v>23</v>
      </c>
      <c r="E4" s="5" t="s">
        <v>24</v>
      </c>
      <c r="F4" s="5" t="s">
        <v>25</v>
      </c>
      <c r="G4" s="5" t="s">
        <v>26</v>
      </c>
      <c r="H4" s="5" t="s">
        <v>27</v>
      </c>
      <c r="I4" s="5" t="s">
        <v>28</v>
      </c>
      <c r="J4" s="5" t="s">
        <v>29</v>
      </c>
      <c r="K4" s="5" t="s">
        <v>30</v>
      </c>
      <c r="L4" s="5" t="s">
        <v>31</v>
      </c>
      <c r="M4" s="5" t="s">
        <v>32</v>
      </c>
      <c r="N4" s="5" t="s">
        <v>33</v>
      </c>
      <c r="O4" s="5" t="s">
        <v>34</v>
      </c>
      <c r="P4" s="5" t="s">
        <v>35</v>
      </c>
    </row>
    <row r="5" customFormat="false" ht="39.75" hidden="false" customHeight="true" outlineLevel="0" collapsed="false">
      <c r="A5" s="9" t="s">
        <v>36</v>
      </c>
      <c r="B5" s="9" t="s">
        <v>37</v>
      </c>
      <c r="C5" s="10" t="s">
        <v>38</v>
      </c>
      <c r="D5" s="10" t="s">
        <v>39</v>
      </c>
      <c r="E5" s="11" t="n">
        <v>4</v>
      </c>
      <c r="F5" s="11" t="n">
        <v>4</v>
      </c>
      <c r="G5" s="12" t="n">
        <f aca="false">IF(OR(E5="",F5=""),"",E5*F5)</f>
        <v>16</v>
      </c>
      <c r="H5" s="13" t="str">
        <f aca="false">IF(G5="","",IF(G5&lt;=6,"Low",IF(G5&lt;=14,"Medium",IF(G5&lt;=19,"High","Critical"))))</f>
        <v>High</v>
      </c>
      <c r="I5" s="10" t="s">
        <v>40</v>
      </c>
      <c r="J5" s="14" t="s">
        <v>41</v>
      </c>
      <c r="K5" s="11" t="n">
        <v>3</v>
      </c>
      <c r="L5" s="11" t="n">
        <v>3</v>
      </c>
      <c r="M5" s="12" t="n">
        <f aca="false">IF(OR(K5="",L5=""),"",K5*L5)</f>
        <v>9</v>
      </c>
      <c r="N5" s="13" t="str">
        <f aca="false">IF(M5="","",IF(M5&lt;=6,"Low",IF(M5&lt;=14,"Medium",IF(M5&lt;=19,"High","Critical"))))</f>
        <v>Medium</v>
      </c>
      <c r="O5" s="15"/>
      <c r="P5" s="16"/>
    </row>
    <row r="6" customFormat="false" ht="39.75" hidden="false" customHeight="true" outlineLevel="0" collapsed="false">
      <c r="A6" s="17" t="s">
        <v>42</v>
      </c>
      <c r="B6" s="17" t="s">
        <v>43</v>
      </c>
      <c r="C6" s="18" t="s">
        <v>44</v>
      </c>
      <c r="D6" s="18" t="s">
        <v>45</v>
      </c>
      <c r="E6" s="19" t="n">
        <v>4</v>
      </c>
      <c r="F6" s="19" t="n">
        <v>5</v>
      </c>
      <c r="G6" s="20" t="n">
        <f aca="false">IF(OR(E6="",F6=""),"",E6*F6)</f>
        <v>20</v>
      </c>
      <c r="H6" s="21" t="str">
        <f aca="false">IF(G6="","",IF(G6&lt;=6,"Low",IF(G6&lt;=14,"Medium",IF(G6&lt;=19,"High","Critical"))))</f>
        <v>Critical</v>
      </c>
      <c r="I6" s="18" t="s">
        <v>46</v>
      </c>
      <c r="J6" s="22" t="s">
        <v>41</v>
      </c>
      <c r="K6" s="19" t="n">
        <v>3</v>
      </c>
      <c r="L6" s="19" t="n">
        <v>4</v>
      </c>
      <c r="M6" s="20" t="n">
        <f aca="false">IF(OR(K6="",L6=""),"",K6*L6)</f>
        <v>12</v>
      </c>
      <c r="N6" s="21" t="str">
        <f aca="false">IF(M6="","",IF(M6&lt;=6,"Low",IF(M6&lt;=14,"Medium",IF(M6&lt;=19,"High","Critical"))))</f>
        <v>Medium</v>
      </c>
      <c r="O6" s="23"/>
      <c r="P6" s="24"/>
    </row>
    <row r="7" customFormat="false" ht="39.75" hidden="false" customHeight="true" outlineLevel="0" collapsed="false">
      <c r="A7" s="9" t="s">
        <v>47</v>
      </c>
      <c r="B7" s="9" t="s">
        <v>48</v>
      </c>
      <c r="C7" s="10" t="s">
        <v>49</v>
      </c>
      <c r="D7" s="10" t="s">
        <v>50</v>
      </c>
      <c r="E7" s="11" t="n">
        <v>4</v>
      </c>
      <c r="F7" s="11" t="n">
        <v>5</v>
      </c>
      <c r="G7" s="12" t="n">
        <f aca="false">IF(OR(E7="",F7=""),"",E7*F7)</f>
        <v>20</v>
      </c>
      <c r="H7" s="13" t="str">
        <f aca="false">IF(G7="","",IF(G7&lt;=6,"Low",IF(G7&lt;=14,"Medium",IF(G7&lt;=19,"High","Critical"))))</f>
        <v>Critical</v>
      </c>
      <c r="I7" s="10" t="s">
        <v>51</v>
      </c>
      <c r="J7" s="14" t="s">
        <v>52</v>
      </c>
      <c r="K7" s="11" t="n">
        <v>4</v>
      </c>
      <c r="L7" s="11" t="n">
        <v>4</v>
      </c>
      <c r="M7" s="12" t="n">
        <f aca="false">IF(OR(K7="",L7=""),"",K7*L7)</f>
        <v>16</v>
      </c>
      <c r="N7" s="13" t="str">
        <f aca="false">IF(M7="","",IF(M7&lt;=6,"Low",IF(M7&lt;=14,"Medium",IF(M7&lt;=19,"High","Critical"))))</f>
        <v>High</v>
      </c>
      <c r="O7" s="15"/>
      <c r="P7" s="16"/>
    </row>
    <row r="8" customFormat="false" ht="39.75" hidden="false" customHeight="true" outlineLevel="0" collapsed="false">
      <c r="A8" s="17" t="s">
        <v>53</v>
      </c>
      <c r="B8" s="17" t="s">
        <v>54</v>
      </c>
      <c r="C8" s="18" t="s">
        <v>55</v>
      </c>
      <c r="D8" s="18" t="s">
        <v>56</v>
      </c>
      <c r="E8" s="19" t="n">
        <v>3</v>
      </c>
      <c r="F8" s="19" t="n">
        <v>4</v>
      </c>
      <c r="G8" s="20" t="n">
        <f aca="false">IF(OR(E8="",F8=""),"",E8*F8)</f>
        <v>12</v>
      </c>
      <c r="H8" s="21" t="str">
        <f aca="false">IF(G8="","",IF(G8&lt;=6,"Low",IF(G8&lt;=14,"Medium",IF(G8&lt;=19,"High","Critical"))))</f>
        <v>Medium</v>
      </c>
      <c r="I8" s="18" t="s">
        <v>57</v>
      </c>
      <c r="J8" s="22" t="s">
        <v>41</v>
      </c>
      <c r="K8" s="19" t="n">
        <v>3</v>
      </c>
      <c r="L8" s="19" t="n">
        <v>3</v>
      </c>
      <c r="M8" s="20" t="n">
        <f aca="false">IF(OR(K8="",L8=""),"",K8*L8)</f>
        <v>9</v>
      </c>
      <c r="N8" s="21" t="str">
        <f aca="false">IF(M8="","",IF(M8&lt;=6,"Low",IF(M8&lt;=14,"Medium",IF(M8&lt;=19,"High","Critical"))))</f>
        <v>Medium</v>
      </c>
      <c r="O8" s="23"/>
      <c r="P8" s="24"/>
    </row>
    <row r="9" customFormat="false" ht="39.75" hidden="false" customHeight="true" outlineLevel="0" collapsed="false">
      <c r="A9" s="9" t="s">
        <v>58</v>
      </c>
      <c r="B9" s="9" t="s">
        <v>59</v>
      </c>
      <c r="C9" s="10" t="s">
        <v>60</v>
      </c>
      <c r="D9" s="10" t="s">
        <v>56</v>
      </c>
      <c r="E9" s="11" t="n">
        <v>3</v>
      </c>
      <c r="F9" s="11" t="n">
        <v>4</v>
      </c>
      <c r="G9" s="12" t="n">
        <f aca="false">IF(OR(E9="",F9=""),"",E9*F9)</f>
        <v>12</v>
      </c>
      <c r="H9" s="13" t="str">
        <f aca="false">IF(G9="","",IF(G9&lt;=6,"Low",IF(G9&lt;=14,"Medium",IF(G9&lt;=19,"High","Critical"))))</f>
        <v>Medium</v>
      </c>
      <c r="I9" s="10" t="s">
        <v>61</v>
      </c>
      <c r="J9" s="14" t="s">
        <v>41</v>
      </c>
      <c r="K9" s="11" t="n">
        <v>2</v>
      </c>
      <c r="L9" s="11" t="n">
        <v>3</v>
      </c>
      <c r="M9" s="12" t="n">
        <f aca="false">IF(OR(K9="",L9=""),"",K9*L9)</f>
        <v>6</v>
      </c>
      <c r="N9" s="13" t="str">
        <f aca="false">IF(M9="","",IF(M9&lt;=6,"Low",IF(M9&lt;=14,"Medium",IF(M9&lt;=19,"High","Critical"))))</f>
        <v>Low</v>
      </c>
      <c r="O9" s="15"/>
      <c r="P9" s="16"/>
    </row>
    <row r="10" customFormat="false" ht="39.75" hidden="false" customHeight="true" outlineLevel="0" collapsed="false">
      <c r="A10" s="17" t="s">
        <v>62</v>
      </c>
      <c r="B10" s="17" t="s">
        <v>63</v>
      </c>
      <c r="C10" s="18" t="s">
        <v>64</v>
      </c>
      <c r="D10" s="18" t="s">
        <v>65</v>
      </c>
      <c r="E10" s="19" t="n">
        <v>3</v>
      </c>
      <c r="F10" s="19" t="n">
        <v>3</v>
      </c>
      <c r="G10" s="20" t="n">
        <f aca="false">IF(OR(E10="",F10=""),"",E10*F10)</f>
        <v>9</v>
      </c>
      <c r="H10" s="21" t="str">
        <f aca="false">IF(G10="","",IF(G10&lt;=6,"Low",IF(G10&lt;=14,"Medium",IF(G10&lt;=19,"High","Critical"))))</f>
        <v>Medium</v>
      </c>
      <c r="I10" s="18" t="s">
        <v>66</v>
      </c>
      <c r="J10" s="22" t="s">
        <v>41</v>
      </c>
      <c r="K10" s="19" t="n">
        <v>3</v>
      </c>
      <c r="L10" s="19" t="n">
        <v>3</v>
      </c>
      <c r="M10" s="20" t="n">
        <f aca="false">IF(OR(K10="",L10=""),"",K10*L10)</f>
        <v>9</v>
      </c>
      <c r="N10" s="21" t="str">
        <f aca="false">IF(M10="","",IF(M10&lt;=6,"Low",IF(M10&lt;=14,"Medium",IF(M10&lt;=19,"High","Critical"))))</f>
        <v>Medium</v>
      </c>
      <c r="O10" s="23"/>
      <c r="P10" s="24"/>
    </row>
    <row r="11" customFormat="false" ht="39.75" hidden="false" customHeight="true" outlineLevel="0" collapsed="false">
      <c r="A11" s="9" t="s">
        <v>67</v>
      </c>
      <c r="B11" s="9" t="s">
        <v>68</v>
      </c>
      <c r="C11" s="10" t="s">
        <v>69</v>
      </c>
      <c r="D11" s="10" t="s">
        <v>50</v>
      </c>
      <c r="E11" s="11" t="n">
        <v>3</v>
      </c>
      <c r="F11" s="11" t="n">
        <v>4</v>
      </c>
      <c r="G11" s="12" t="n">
        <f aca="false">IF(OR(E11="",F11=""),"",E11*F11)</f>
        <v>12</v>
      </c>
      <c r="H11" s="13" t="str">
        <f aca="false">IF(G11="","",IF(G11&lt;=6,"Low",IF(G11&lt;=14,"Medium",IF(G11&lt;=19,"High","Critical"))))</f>
        <v>Medium</v>
      </c>
      <c r="I11" s="10" t="s">
        <v>70</v>
      </c>
      <c r="J11" s="14" t="s">
        <v>71</v>
      </c>
      <c r="K11" s="11" t="n">
        <v>3</v>
      </c>
      <c r="L11" s="11" t="n">
        <v>4</v>
      </c>
      <c r="M11" s="12" t="n">
        <f aca="false">IF(OR(K11="",L11=""),"",K11*L11)</f>
        <v>12</v>
      </c>
      <c r="N11" s="13" t="str">
        <f aca="false">IF(M11="","",IF(M11&lt;=6,"Low",IF(M11&lt;=14,"Medium",IF(M11&lt;=19,"High","Critical"))))</f>
        <v>Medium</v>
      </c>
      <c r="O11" s="15"/>
      <c r="P11" s="16"/>
    </row>
  </sheetData>
  <mergeCells count="2">
    <mergeCell ref="A1:P1"/>
    <mergeCell ref="A2:P2"/>
  </mergeCells>
  <conditionalFormatting sqref="H5:H11">
    <cfRule type="expression" priority="2" aboveAverage="0" equalAverage="0" bottom="0" percent="0" rank="0" text="" dxfId="0">
      <formula>H5="Critical"</formula>
    </cfRule>
    <cfRule type="expression" priority="3" aboveAverage="0" equalAverage="0" bottom="0" percent="0" rank="0" text="" dxfId="1">
      <formula>H5="High"</formula>
    </cfRule>
    <cfRule type="expression" priority="4" aboveAverage="0" equalAverage="0" bottom="0" percent="0" rank="0" text="" dxfId="2">
      <formula>H5="Medium"</formula>
    </cfRule>
    <cfRule type="expression" priority="5" aboveAverage="0" equalAverage="0" bottom="0" percent="0" rank="0" text="" dxfId="3">
      <formula>H5="Low"</formula>
    </cfRule>
  </conditionalFormatting>
  <conditionalFormatting sqref="N5:N11">
    <cfRule type="expression" priority="6" aboveAverage="0" equalAverage="0" bottom="0" percent="0" rank="0" text="" dxfId="0">
      <formula>N5="Critical"</formula>
    </cfRule>
    <cfRule type="expression" priority="7" aboveAverage="0" equalAverage="0" bottom="0" percent="0" rank="0" text="" dxfId="1">
      <formula>N5="High"</formula>
    </cfRule>
    <cfRule type="expression" priority="8" aboveAverage="0" equalAverage="0" bottom="0" percent="0" rank="0" text="" dxfId="2">
      <formula>N5="Medium"</formula>
    </cfRule>
    <cfRule type="expression" priority="9" aboveAverage="0" equalAverage="0" bottom="0" percent="0" rank="0" text="" dxfId="3">
      <formula>N5="Low"</formula>
    </cfRule>
  </conditionalFormatting>
  <dataValidations count="3">
    <dataValidation allowBlank="true" errorStyle="stop" operator="between" showDropDown="false" showErrorMessage="false" showInputMessage="false" sqref="D5:D11" type="list">
      <formula1>"Cross-Cutting Rules,Products and Services,Price and Value,Consumer Understanding,Consumer Support,Governance and MI"</formula1>
      <formula2>0</formula2>
    </dataValidation>
    <dataValidation allowBlank="true" errorStyle="stop" operator="between" showDropDown="false" showErrorMessage="false" showInputMessage="false" sqref="E5:F11 K5:L11" type="list">
      <formula1>"1,2,3,4,5"</formula1>
      <formula2>0</formula2>
    </dataValidation>
    <dataValidation allowBlank="true" errorStyle="stop" operator="between" showDropDown="false" showErrorMessage="false" showInputMessage="false" sqref="J5:J11" type="list">
      <formula1>"Effective,Partially Effective,Ineffective,Not Yet Tested"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&amp;C© 2026 xPercept.ai. Copyright and confidential. Do not distribute.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6" min="2" style="0" width="10"/>
  </cols>
  <sheetData>
    <row r="1" customFormat="false" ht="27.75" hidden="false" customHeight="true" outlineLevel="0" collapsed="false">
      <c r="A1" s="1" t="s">
        <v>72</v>
      </c>
      <c r="B1" s="1"/>
      <c r="C1" s="1"/>
      <c r="D1" s="1"/>
      <c r="E1" s="1"/>
      <c r="F1" s="1"/>
    </row>
    <row r="2" customFormat="false" ht="19.5" hidden="false" customHeight="true" outlineLevel="0" collapsed="false">
      <c r="A2" s="2" t="s">
        <v>73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25" t="s">
        <v>74</v>
      </c>
      <c r="B4" s="26" t="n">
        <v>1</v>
      </c>
      <c r="C4" s="26" t="n">
        <v>2</v>
      </c>
      <c r="D4" s="26" t="n">
        <v>3</v>
      </c>
      <c r="E4" s="26" t="n">
        <v>4</v>
      </c>
      <c r="F4" s="26" t="n">
        <v>5</v>
      </c>
    </row>
    <row r="5" customFormat="false" ht="15" hidden="false" customHeight="false" outlineLevel="0" collapsed="false">
      <c r="A5" s="26" t="n">
        <v>5</v>
      </c>
      <c r="B5" s="27" t="n">
        <f aca="false">COUNTIFS('Risk Register'!$K$5:$K$11,5,'Risk Register'!$L$5:$L$11,1)</f>
        <v>0</v>
      </c>
      <c r="C5" s="28" t="n">
        <f aca="false">COUNTIFS('Risk Register'!$K$5:$K$11,5,'Risk Register'!$L$5:$L$11,2)</f>
        <v>0</v>
      </c>
      <c r="D5" s="29" t="n">
        <f aca="false">COUNTIFS('Risk Register'!$K$5:$K$11,5,'Risk Register'!$L$5:$L$11,3)</f>
        <v>0</v>
      </c>
      <c r="E5" s="30" t="n">
        <f aca="false">COUNTIFS('Risk Register'!$K$5:$K$11,5,'Risk Register'!$L$5:$L$11,4)</f>
        <v>0</v>
      </c>
      <c r="F5" s="30" t="n">
        <f aca="false">COUNTIFS('Risk Register'!$K$5:$K$11,5,'Risk Register'!$L$5:$L$11,5)</f>
        <v>0</v>
      </c>
    </row>
    <row r="6" customFormat="false" ht="15" hidden="false" customHeight="false" outlineLevel="0" collapsed="false">
      <c r="A6" s="26" t="n">
        <v>4</v>
      </c>
      <c r="B6" s="27" t="n">
        <f aca="false">COUNTIFS('Risk Register'!$K$5:$K$11,4,'Risk Register'!$L$5:$L$11,1)</f>
        <v>0</v>
      </c>
      <c r="C6" s="28" t="n">
        <f aca="false">COUNTIFS('Risk Register'!$K$5:$K$11,4,'Risk Register'!$L$5:$L$11,2)</f>
        <v>0</v>
      </c>
      <c r="D6" s="28" t="n">
        <f aca="false">COUNTIFS('Risk Register'!$K$5:$K$11,4,'Risk Register'!$L$5:$L$11,3)</f>
        <v>0</v>
      </c>
      <c r="E6" s="29" t="n">
        <f aca="false">COUNTIFS('Risk Register'!$K$5:$K$11,4,'Risk Register'!$L$5:$L$11,4)</f>
        <v>1</v>
      </c>
      <c r="F6" s="30" t="n">
        <f aca="false">COUNTIFS('Risk Register'!$K$5:$K$11,4,'Risk Register'!$L$5:$L$11,5)</f>
        <v>0</v>
      </c>
    </row>
    <row r="7" customFormat="false" ht="15" hidden="false" customHeight="false" outlineLevel="0" collapsed="false">
      <c r="A7" s="26" t="n">
        <v>3</v>
      </c>
      <c r="B7" s="27" t="n">
        <f aca="false">COUNTIFS('Risk Register'!$K$5:$K$11,3,'Risk Register'!$L$5:$L$11,1)</f>
        <v>0</v>
      </c>
      <c r="C7" s="27" t="n">
        <f aca="false">COUNTIFS('Risk Register'!$K$5:$K$11,3,'Risk Register'!$L$5:$L$11,2)</f>
        <v>0</v>
      </c>
      <c r="D7" s="28" t="n">
        <f aca="false">COUNTIFS('Risk Register'!$K$5:$K$11,3,'Risk Register'!$L$5:$L$11,3)</f>
        <v>3</v>
      </c>
      <c r="E7" s="28" t="n">
        <f aca="false">COUNTIFS('Risk Register'!$K$5:$K$11,3,'Risk Register'!$L$5:$L$11,4)</f>
        <v>2</v>
      </c>
      <c r="F7" s="29" t="n">
        <f aca="false">COUNTIFS('Risk Register'!$K$5:$K$11,3,'Risk Register'!$L$5:$L$11,5)</f>
        <v>0</v>
      </c>
    </row>
    <row r="8" customFormat="false" ht="15" hidden="false" customHeight="false" outlineLevel="0" collapsed="false">
      <c r="A8" s="26" t="n">
        <v>2</v>
      </c>
      <c r="B8" s="27" t="n">
        <f aca="false">COUNTIFS('Risk Register'!$K$5:$K$11,2,'Risk Register'!$L$5:$L$11,1)</f>
        <v>0</v>
      </c>
      <c r="C8" s="27" t="n">
        <f aca="false">COUNTIFS('Risk Register'!$K$5:$K$11,2,'Risk Register'!$L$5:$L$11,2)</f>
        <v>0</v>
      </c>
      <c r="D8" s="27" t="n">
        <f aca="false">COUNTIFS('Risk Register'!$K$5:$K$11,2,'Risk Register'!$L$5:$L$11,3)</f>
        <v>1</v>
      </c>
      <c r="E8" s="28" t="n">
        <f aca="false">COUNTIFS('Risk Register'!$K$5:$K$11,2,'Risk Register'!$L$5:$L$11,4)</f>
        <v>0</v>
      </c>
      <c r="F8" s="28" t="n">
        <f aca="false">COUNTIFS('Risk Register'!$K$5:$K$11,2,'Risk Register'!$L$5:$L$11,5)</f>
        <v>0</v>
      </c>
    </row>
    <row r="9" customFormat="false" ht="15" hidden="false" customHeight="false" outlineLevel="0" collapsed="false">
      <c r="A9" s="26" t="n">
        <v>1</v>
      </c>
      <c r="B9" s="27" t="n">
        <f aca="false">COUNTIFS('Risk Register'!$K$5:$K$11,1,'Risk Register'!$L$5:$L$11,1)</f>
        <v>0</v>
      </c>
      <c r="C9" s="27" t="n">
        <f aca="false">COUNTIFS('Risk Register'!$K$5:$K$11,1,'Risk Register'!$L$5:$L$11,2)</f>
        <v>0</v>
      </c>
      <c r="D9" s="27" t="n">
        <f aca="false">COUNTIFS('Risk Register'!$K$5:$K$11,1,'Risk Register'!$L$5:$L$11,3)</f>
        <v>0</v>
      </c>
      <c r="E9" s="27" t="n">
        <f aca="false">COUNTIFS('Risk Register'!$K$5:$K$11,1,'Risk Register'!$L$5:$L$11,4)</f>
        <v>0</v>
      </c>
      <c r="F9" s="27" t="n">
        <f aca="false">COUNTIFS('Risk Register'!$K$5:$K$11,1,'Risk Register'!$L$5:$L$11,5)</f>
        <v>0</v>
      </c>
    </row>
    <row r="11" customFormat="false" ht="15" hidden="false" customHeight="false" outlineLevel="0" collapsed="false">
      <c r="A11" s="8" t="s">
        <v>75</v>
      </c>
      <c r="B11" s="8"/>
      <c r="C11" s="8"/>
      <c r="D11" s="8"/>
      <c r="E11" s="8"/>
      <c r="F11" s="8"/>
    </row>
  </sheetData>
  <mergeCells count="3">
    <mergeCell ref="A1:F1"/>
    <mergeCell ref="A2:F2"/>
    <mergeCell ref="A11:F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&amp;C© 2026 xPercept.ai. Copyright and confidential. Do not distribute.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2026-08-05T15:39:08Z</dcterms:created>
  <dc:creator>openpyxl</dc:creator>
  <dc:description/>
  <dc:language>en-US</dc:language>
  <cp:lastModifiedBy/>
  <dcterms:modified xsi:type="dcterms:W3CDTF">2026-08-05T15:39:08Z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