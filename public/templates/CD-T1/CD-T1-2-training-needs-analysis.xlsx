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Training Nee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<sst xmlns="http://schemas.openxmlformats.org/spreadsheetml/2006/main" count="43" uniqueCount="40">
  <si>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CD-T1 · Training Needs Analysis</t>
  </si>
  <si>
    <t xml:space="preserve">Consumer Duty Implementation — Training &amp; Competency</t>
  </si>
  <si>
    <t xml:space="preserve">Purpose</t>
  </si>
  <si>
    <t xml:space="preserve">This analysis identifies gaps between staff's current Consumer Duty knowledge/skills and what is required for their role, informing the Role-Based Training Curriculum (CD-T1).</t>
  </si>
  <si>
    <t xml:space="preserve">How to use this workbook</t>
  </si>
  <si>
    <t xml:space="preserve">1. Complete one row per role/team.
2. Score Current and Required competency 1 (Novice) to 5 (Expert) for each Consumer Duty topic area.
3. The Gap calculates automatically.
4. Review the Summary tab to prioritise training investment where gaps are largest.</t>
  </si>
  <si>
    <t xml:space="preserve">Note</t>
  </si>
  <si>
    <t xml:space="preserve">Competency should be assessed using a combination of self-assessment, manager review, and (where available) knowledge check results — not self-assessment alone.</t>
  </si>
  <si>
    <t xml:space="preserve">CD-T1 · Training Needs Summary</t>
  </si>
  <si>
    <t xml:space="preserve">Auto-calculates from Training Needs Analysis</t>
  </si>
  <si>
    <t xml:space="preserve">Category</t>
  </si>
  <si>
    <t xml:space="preserve">Count</t>
  </si>
  <si>
    <t xml:space="preserve">High</t>
  </si>
  <si>
    <t xml:space="preserve">Medium</t>
  </si>
  <si>
    <t xml:space="preserve">Low</t>
  </si>
  <si>
    <t xml:space="preserve">High-priority gaps should be addressed first in the Role-Based Training Curriculum (CD-T1).</t>
  </si>
  <si>
    <t xml:space="preserve">Gap and Priority calculate automatically from Current vs Required competency</t>
  </si>
  <si>
    <t xml:space="preserve">Ref</t>
  </si>
  <si>
    <t xml:space="preserve">Role / Team</t>
  </si>
  <si>
    <t xml:space="preserve">Topic Area</t>
  </si>
  <si>
    <t xml:space="preserve">Current
Competency (1-5)</t>
  </si>
  <si>
    <t xml:space="preserve">Required
Competency (1-5)</t>
  </si>
  <si>
    <t xml:space="preserve">Gap</t>
  </si>
  <si>
    <t xml:space="preserve">Priority</t>
  </si>
  <si>
    <t xml:space="preserve">TNA-01</t>
  </si>
  <si>
    <t xml:space="preserve">Customer Service Advisors</t>
  </si>
  <si>
    <t xml:space="preserve">Recognising vulnerability</t>
  </si>
  <si>
    <t xml:space="preserve">TNA-02</t>
  </si>
  <si>
    <t xml:space="preserve">Sludge practices / good complaint handling</t>
  </si>
  <si>
    <t xml:space="preserve">TNA-03</t>
  </si>
  <si>
    <t xml:space="preserve">Product Managers</t>
  </si>
  <si>
    <t xml:space="preserve">Fair Value Assessment methodology</t>
  </si>
  <si>
    <t xml:space="preserve">TNA-04</t>
  </si>
  <si>
    <t xml:space="preserve">Target market definition</t>
  </si>
  <si>
    <t xml:space="preserve">TNA-05</t>
  </si>
  <si>
    <t xml:space="preserve">Marketing Team</t>
  </si>
  <si>
    <t xml:space="preserve">Plain language and accessible communications</t>
  </si>
  <si>
    <t xml:space="preserve">TNA-06</t>
  </si>
  <si>
    <t xml:space="preserve">Senior Management</t>
  </si>
  <si>
    <t xml:space="preserve">Consumer Duty governance and accountability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</si>
</sst>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COUNTIF('Training Needs'!G5:G10,A5)</f>
        <v>1</v>
      </c>
    </row>
    <row r="6" customFormat="false" ht="15" hidden="false" customHeight="false" outlineLevel="0" collapsed="false">
      <c r="A6" s="6" t="s">
        <v>13</v>
      </c>
      <c r="B6" s="7" t="n">
        <f aca="false">COUNTIF('Training Needs'!G5:G10,A6)</f>
        <v>3</v>
      </c>
    </row>
    <row r="7" customFormat="false" ht="15" hidden="false" customHeight="false" outlineLevel="0" collapsed="false">
      <c r="A7" s="6" t="s">
        <v>14</v>
      </c>
      <c r="B7" s="7" t="n">
        <f aca="false">COUNTIF('Training Needs'!G5:G10,A7)</f>
        <v>2</v>
      </c>
    </row>
    <row r="9" customFormat="false" ht="15" hidden="false" customHeight="false" outlineLevel="0" collapsed="false">
      <c r="A9" s="8" t="s">
        <v>15</v>
      </c>
      <c r="B9" s="8"/>
    </row>
  </sheetData>
  <mergeCells count="3">
    <mergeCell ref="A1:B1"/>
    <mergeCell ref="A2:B2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customFormat="false" ht="33.75" hidden="false" customHeight="true" outlineLevel="0" collapsed="false">
      <c r="A5" s="9" t="s">
        <v>24</v>
      </c>
      <c r="B5" s="10" t="s">
        <v>25</v>
      </c>
      <c r="C5" s="10" t="s">
        <v>26</v>
      </c>
      <c r="D5" s="9" t="n">
        <v>2</v>
      </c>
      <c r="E5" s="9" t="n">
        <v>4</v>
      </c>
      <c r="F5" s="11" t="n">
        <f aca="false">E5-D5</f>
        <v>2</v>
      </c>
      <c r="G5" s="12" t="str">
        <f aca="false">IF(F5&gt;=3,"High",IF(F5&gt;=2,"Medium","Low"))</f>
        <v>Medium</v>
      </c>
    </row>
    <row r="6" customFormat="false" ht="33.75" hidden="false" customHeight="true" outlineLevel="0" collapsed="false">
      <c r="A6" s="13" t="s">
        <v>27</v>
      </c>
      <c r="B6" s="14" t="s">
        <v>25</v>
      </c>
      <c r="C6" s="14" t="s">
        <v>28</v>
      </c>
      <c r="D6" s="13" t="n">
        <v>3</v>
      </c>
      <c r="E6" s="13" t="n">
        <v>4</v>
      </c>
      <c r="F6" s="15" t="n">
        <f aca="false">E6-D6</f>
        <v>1</v>
      </c>
      <c r="G6" s="16" t="str">
        <f aca="false">IF(F6&gt;=3,"High",IF(F6&gt;=2,"Medium","Low"))</f>
        <v>Low</v>
      </c>
    </row>
    <row r="7" customFormat="false" ht="33.75" hidden="false" customHeight="true" outlineLevel="0" collapsed="false">
      <c r="A7" s="9" t="s">
        <v>29</v>
      </c>
      <c r="B7" s="10" t="s">
        <v>30</v>
      </c>
      <c r="C7" s="10" t="s">
        <v>31</v>
      </c>
      <c r="D7" s="9" t="n">
        <v>2</v>
      </c>
      <c r="E7" s="9" t="n">
        <v>5</v>
      </c>
      <c r="F7" s="11" t="n">
        <f aca="false">E7-D7</f>
        <v>3</v>
      </c>
      <c r="G7" s="12" t="str">
        <f aca="false">IF(F7&gt;=3,"High",IF(F7&gt;=2,"Medium","Low"))</f>
        <v>High</v>
      </c>
    </row>
    <row r="8" customFormat="false" ht="33.75" hidden="false" customHeight="true" outlineLevel="0" collapsed="false">
      <c r="A8" s="13" t="s">
        <v>32</v>
      </c>
      <c r="B8" s="14" t="s">
        <v>30</v>
      </c>
      <c r="C8" s="14" t="s">
        <v>33</v>
      </c>
      <c r="D8" s="13" t="n">
        <v>3</v>
      </c>
      <c r="E8" s="13" t="n">
        <v>5</v>
      </c>
      <c r="F8" s="15" t="n">
        <f aca="false">E8-D8</f>
        <v>2</v>
      </c>
      <c r="G8" s="16" t="str">
        <f aca="false">IF(F8&gt;=3,"High",IF(F8&gt;=2,"Medium","Low"))</f>
        <v>Medium</v>
      </c>
    </row>
    <row r="9" customFormat="false" ht="33.75" hidden="false" customHeight="true" outlineLevel="0" collapsed="false">
      <c r="A9" s="9" t="s">
        <v>34</v>
      </c>
      <c r="B9" s="10" t="s">
        <v>35</v>
      </c>
      <c r="C9" s="10" t="s">
        <v>36</v>
      </c>
      <c r="D9" s="9" t="n">
        <v>3</v>
      </c>
      <c r="E9" s="9" t="n">
        <v>4</v>
      </c>
      <c r="F9" s="11" t="n">
        <f aca="false">E9-D9</f>
        <v>1</v>
      </c>
      <c r="G9" s="12" t="str">
        <f aca="false">IF(F9&gt;=3,"High",IF(F9&gt;=2,"Medium","Low"))</f>
        <v>Low</v>
      </c>
    </row>
    <row r="10" customFormat="false" ht="33.75" hidden="false" customHeight="true" outlineLevel="0" collapsed="false">
      <c r="A10" s="13" t="s">
        <v>37</v>
      </c>
      <c r="B10" s="14" t="s">
        <v>38</v>
      </c>
      <c r="C10" s="14" t="s">
        <v>39</v>
      </c>
      <c r="D10" s="13" t="n">
        <v>3</v>
      </c>
      <c r="E10" s="13" t="n">
        <v>5</v>
      </c>
      <c r="F10" s="15" t="n">
        <f aca="false">E10-D10</f>
        <v>2</v>
      </c>
      <c r="G10" s="16" t="str">
        <f aca="false">IF(F10&gt;=3,"High",IF(F10&gt;=2,"Medium","Low"))</f>
        <v>Medium</v>
      </c>
    </row>
  </sheetData>
  <mergeCells count="2">
    <mergeCell ref="A1:G1"/>
    <mergeCell ref="A2:G2"/>
  </mergeCells>
  <conditionalFormatting sqref="G5:G10">
    <cfRule type="expression" priority="2" aboveAverage="0" equalAverage="0" bottom="0" percent="0" rank="0" text="" dxfId="0">
      <formula>G5="High"</formula>
    </cfRule>
    <cfRule type="expression" priority="3" aboveAverage="0" equalAverage="0" bottom="0" percent="0" rank="0" text="" dxfId="1">
      <formula>G5="Medium"</formula>
    </cfRule>
    <cfRule type="expression" priority="4" aboveAverage="0" equalAverage="0" bottom="0" percent="0" rank="0" text="" dxfId="2">
      <formula>G5="Low"</formula>
    </cfRule>
  </conditionalFormatting>
  <dataValidations count="2">
    <dataValidation allowBlank="true" errorStyle="stop" operator="between" showDropDown="false" showErrorMessage="false" showInputMessage="false" sqref="D5:D10" type="list">
      <formula1>"1,2,3,4,5"</formula1>
      <formula2>0</formula2>
    </dataValidation>
    <dataValidation allowBlank="true" errorStyle="stop" operator="between" showDropDown="false" showErrorMessage="false" showInputMessage="false" sqref="E5:E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2026-08-06T08:01:42Z</dcterms:created>
  <dc:creator>openpyxl</dc:creator>
  <dc:description/>
  <dc:language>en-US</dc:language>
  <cp:lastModifiedBy/>
  <dcterms:modified xsi:type="dcterms:W3CDTF">2026-08-06T08:01:42Z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