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Survey 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<sst xmlns="http://schemas.openxmlformats.org/spreadsheetml/2006/main" count="49" uniqueCount="43">
  <si>
    <t xml:space="preserve">CD-I3 · Customer Comprehension Survey</t>
  </si>
  <si>
    <t xml:space="preserve">Consumer Duty Implementation — Consumer Understanding Outcome</t>
  </si>
  <si>
    <t xml:space="preserve">Purpose</t>
  </si>
  <si>
    <t xml:space="preserve">This survey directly measures whether customers understand key product features, risks, and costs after reading a communication, providing empirical evidence to support the Communication Testing Protocol (CD-I3) requirement to test rather than assume comprehension.</t>
  </si>
  <si>
    <t xml:space="preserve">How to use this workbook</t>
  </si>
  <si>
    <t xml:space="preserve">1. Run the survey with a representative sample of the target market after they review the communication being tested.
2. Record each respondent's score against comprehension questions in the Survey Results Register.
3. The Pass/Fail outcome calculates automatically against an 80% comprehension threshold.
4. Review the Summary tab for the overall pass rate.</t>
  </si>
  <si>
    <t xml:space="preserve">Comprehension threshold</t>
  </si>
  <si>
    <t xml:space="preserve">A communication is considered to support good customer understanding where at least 80% of surveyed customers correctly answer at least 80% of comprehension questions. Below this, the communication should be redrafted and retested.</t>
  </si>
  <si>
    <t xml:space="preserve">CD-I3 · Comprehension Summary</t>
  </si>
  <si>
    <t xml:space="preserve">Auto-calculates from the Survey Results</t>
  </si>
  <si>
    <t xml:space="preserve">Category</t>
  </si>
  <si>
    <t xml:space="preserve">Count</t>
  </si>
  <si>
    <t xml:space="preserve">Pass</t>
  </si>
  <si>
    <t xml:space="preserve">Fail</t>
  </si>
  <si>
    <t xml:space="preserve">Communications with a Fail outcome should be redrafted and retested; see Plain Language Checklist (CD-I3).</t>
  </si>
  <si>
    <t xml:space="preserve">CD-I3 · Customer Comprehension Survey Results</t>
  </si>
  <si>
    <t xml:space="preserve">Score % and Outcome calculate automatically against an 80% pass threshold</t>
  </si>
  <si>
    <t xml:space="preserve">Ref</t>
  </si>
  <si>
    <t xml:space="preserve">Communication Tested</t>
  </si>
  <si>
    <t xml:space="preserve">Respondent ID</t>
  </si>
  <si>
    <t xml:space="preserve">Questions
Asked</t>
  </si>
  <si>
    <t xml:space="preserve">Questions
Correct</t>
  </si>
  <si>
    <t xml:space="preserve">Score %</t>
  </si>
  <si>
    <t xml:space="preserve">Outcome</t>
  </si>
  <si>
    <t xml:space="preserve">Date</t>
  </si>
  <si>
    <t xml:space="preserve">SURV-01</t>
  </si>
  <si>
    <t xml:space="preserve">Key Features Document — Stocks &amp; Shares ISA</t>
  </si>
  <si>
    <t xml:space="preserve">R-001</t>
  </si>
  <si>
    <t xml:space="preserve">2026-02-10</t>
  </si>
  <si>
    <t xml:space="preserve">SURV-02</t>
  </si>
  <si>
    <t xml:space="preserve">R-002</t>
  </si>
  <si>
    <t xml:space="preserve">SURV-03</t>
  </si>
  <si>
    <t xml:space="preserve">R-003</t>
  </si>
  <si>
    <t xml:space="preserve">SURV-04</t>
  </si>
  <si>
    <t xml:space="preserve">Fixed Term Personal Loan — Pre-Contract Summary</t>
  </si>
  <si>
    <t xml:space="preserve">R-004</t>
  </si>
  <si>
    <t xml:space="preserve">2026-02-17</t>
  </si>
  <si>
    <t xml:space="preserve">SURV-05</t>
  </si>
  <si>
    <t xml:space="preserve">R-005</t>
  </si>
  <si>
    <t xml:space="preserve">SURV-06</t>
  </si>
  <si>
    <t xml:space="preserve">Travel Insurance — Policy Summary</t>
  </si>
  <si>
    <t xml:space="preserve">R-006</t>
  </si>
  <si>
    <t xml:space="preserve">2026-03-02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</si>
</sst>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696B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55.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18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27.75" hidden="false" customHeight="true" outlineLevel="0" collapsed="false">
      <c r="A1" s="1" t="s">
        <v>8</v>
      </c>
      <c r="B1" s="1"/>
    </row>
    <row r="2" customFormat="false" ht="19.5" hidden="false" customHeight="true" outlineLevel="0" collapsed="false">
      <c r="A2" s="2" t="s">
        <v>9</v>
      </c>
      <c r="B2" s="2"/>
    </row>
    <row r="4" customFormat="false" ht="15" hidden="false" customHeight="false" outlineLevel="0" collapsed="false">
      <c r="A4" s="5" t="s">
        <v>10</v>
      </c>
      <c r="B4" s="5" t="s">
        <v>11</v>
      </c>
    </row>
    <row r="5" customFormat="false" ht="15" hidden="false" customHeight="false" outlineLevel="0" collapsed="false">
      <c r="A5" s="6" t="s">
        <v>12</v>
      </c>
      <c r="B5" s="7" t="n">
        <f aca="false">COUNTIF('Survey Results'!G5:G10,A5)</f>
        <v>3</v>
      </c>
    </row>
    <row r="6" customFormat="false" ht="15" hidden="false" customHeight="false" outlineLevel="0" collapsed="false">
      <c r="A6" s="6" t="s">
        <v>13</v>
      </c>
      <c r="B6" s="7" t="n">
        <f aca="false">COUNTIF('Survey Results'!G5:G10,A6)</f>
        <v>3</v>
      </c>
    </row>
    <row r="8" customFormat="false" ht="15" hidden="false" customHeight="false" outlineLevel="0" collapsed="false">
      <c r="A8" s="8" t="s">
        <v>14</v>
      </c>
      <c r="B8" s="8"/>
    </row>
  </sheetData>
  <mergeCells count="3">
    <mergeCell ref="A1:B1"/>
    <mergeCell ref="A2:B2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5" min="3" style="0" width="12"/>
    <col collapsed="false" customWidth="true" hidden="false" outlineLevel="0" max="6" min="6" style="0" width="10"/>
    <col collapsed="false" customWidth="true" hidden="false" outlineLevel="0" max="8" min="7" style="0" width="12"/>
  </cols>
  <sheetData>
    <row r="1" customFormat="false" ht="27.75" hidden="false" customHeight="true" outlineLevel="0" collapsed="false">
      <c r="A1" s="1" t="s">
        <v>15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16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</row>
    <row r="5" customFormat="false" ht="33.75" hidden="false" customHeight="true" outlineLevel="0" collapsed="false">
      <c r="A5" s="9" t="s">
        <v>25</v>
      </c>
      <c r="B5" s="10" t="s">
        <v>26</v>
      </c>
      <c r="C5" s="9" t="s">
        <v>27</v>
      </c>
      <c r="D5" s="9" t="n">
        <v>8</v>
      </c>
      <c r="E5" s="9" t="n">
        <v>7</v>
      </c>
      <c r="F5" s="11" t="n">
        <f aca="false">IFERROR(E5/D5,"")</f>
        <v>0.875</v>
      </c>
      <c r="G5" s="12" t="str">
        <f aca="false">IF(F5="","",IF(F5&gt;=0.8,"Pass","Fail"))</f>
        <v>Pass</v>
      </c>
      <c r="H5" s="13" t="s">
        <v>28</v>
      </c>
    </row>
    <row r="6" customFormat="false" ht="33.75" hidden="false" customHeight="true" outlineLevel="0" collapsed="false">
      <c r="A6" s="14" t="s">
        <v>29</v>
      </c>
      <c r="B6" s="15" t="s">
        <v>26</v>
      </c>
      <c r="C6" s="14" t="s">
        <v>30</v>
      </c>
      <c r="D6" s="14" t="n">
        <v>8</v>
      </c>
      <c r="E6" s="14" t="n">
        <v>5</v>
      </c>
      <c r="F6" s="16" t="n">
        <f aca="false">IFERROR(E6/D6,"")</f>
        <v>0.625</v>
      </c>
      <c r="G6" s="17" t="str">
        <f aca="false">IF(F6="","",IF(F6&gt;=0.8,"Pass","Fail"))</f>
        <v>Fail</v>
      </c>
      <c r="H6" s="18" t="s">
        <v>28</v>
      </c>
    </row>
    <row r="7" customFormat="false" ht="33.75" hidden="false" customHeight="true" outlineLevel="0" collapsed="false">
      <c r="A7" s="9" t="s">
        <v>31</v>
      </c>
      <c r="B7" s="10" t="s">
        <v>26</v>
      </c>
      <c r="C7" s="9" t="s">
        <v>32</v>
      </c>
      <c r="D7" s="9" t="n">
        <v>8</v>
      </c>
      <c r="E7" s="9" t="n">
        <v>8</v>
      </c>
      <c r="F7" s="11" t="n">
        <f aca="false">IFERROR(E7/D7,"")</f>
        <v>1</v>
      </c>
      <c r="G7" s="12" t="str">
        <f aca="false">IF(F7="","",IF(F7&gt;=0.8,"Pass","Fail"))</f>
        <v>Pass</v>
      </c>
      <c r="H7" s="13" t="s">
        <v>28</v>
      </c>
    </row>
    <row r="8" customFormat="false" ht="33.75" hidden="false" customHeight="true" outlineLevel="0" collapsed="false">
      <c r="A8" s="14" t="s">
        <v>33</v>
      </c>
      <c r="B8" s="15" t="s">
        <v>34</v>
      </c>
      <c r="C8" s="14" t="s">
        <v>35</v>
      </c>
      <c r="D8" s="14" t="n">
        <v>6</v>
      </c>
      <c r="E8" s="14" t="n">
        <v>6</v>
      </c>
      <c r="F8" s="16" t="n">
        <f aca="false">IFERROR(E8/D8,"")</f>
        <v>1</v>
      </c>
      <c r="G8" s="17" t="str">
        <f aca="false">IF(F8="","",IF(F8&gt;=0.8,"Pass","Fail"))</f>
        <v>Pass</v>
      </c>
      <c r="H8" s="18" t="s">
        <v>36</v>
      </c>
    </row>
    <row r="9" customFormat="false" ht="33.75" hidden="false" customHeight="true" outlineLevel="0" collapsed="false">
      <c r="A9" s="9" t="s">
        <v>37</v>
      </c>
      <c r="B9" s="10" t="s">
        <v>34</v>
      </c>
      <c r="C9" s="9" t="s">
        <v>38</v>
      </c>
      <c r="D9" s="9" t="n">
        <v>6</v>
      </c>
      <c r="E9" s="9" t="n">
        <v>4</v>
      </c>
      <c r="F9" s="11" t="n">
        <f aca="false">IFERROR(E9/D9,"")</f>
        <v>0.666666666666667</v>
      </c>
      <c r="G9" s="12" t="str">
        <f aca="false">IF(F9="","",IF(F9&gt;=0.8,"Pass","Fail"))</f>
        <v>Fail</v>
      </c>
      <c r="H9" s="13" t="s">
        <v>36</v>
      </c>
    </row>
    <row r="10" customFormat="false" ht="33.75" hidden="false" customHeight="true" outlineLevel="0" collapsed="false">
      <c r="A10" s="14" t="s">
        <v>39</v>
      </c>
      <c r="B10" s="15" t="s">
        <v>40</v>
      </c>
      <c r="C10" s="14" t="s">
        <v>41</v>
      </c>
      <c r="D10" s="14" t="n">
        <v>7</v>
      </c>
      <c r="E10" s="14" t="n">
        <v>3</v>
      </c>
      <c r="F10" s="16" t="n">
        <f aca="false">IFERROR(E10/D10,"")</f>
        <v>0.428571428571429</v>
      </c>
      <c r="G10" s="17" t="str">
        <f aca="false">IF(F10="","",IF(F10&gt;=0.8,"Pass","Fail"))</f>
        <v>Fail</v>
      </c>
      <c r="H10" s="18" t="s">
        <v>42</v>
      </c>
    </row>
  </sheetData>
  <mergeCells count="2">
    <mergeCell ref="A1:H1"/>
    <mergeCell ref="A2:H2"/>
  </mergeCells>
  <conditionalFormatting sqref="G5:G10">
    <cfRule type="expression" priority="2" aboveAverage="0" equalAverage="0" bottom="0" percent="0" rank="0" text="" dxfId="0">
      <formula>G5="Fail"</formula>
    </cfRule>
    <cfRule type="expression" priority="3" aboveAverage="0" equalAverage="0" bottom="0" percent="0" rank="0" text="" dxfId="1">
      <formula>G5="Pass"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2026-08-05T20:48:54Z</dcterms:created>
  <dc:creator>openpyxl</dc:creator>
  <dc:description/>
  <dc:language>en-US</dc:language>
  <cp:lastModifiedBy/>
  <dcterms:modified xsi:type="dcterms:W3CDTF">2026-08-05T20:48:54Z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