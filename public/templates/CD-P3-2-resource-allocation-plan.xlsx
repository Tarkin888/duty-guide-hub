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Resource Alloc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<sst xmlns="http://schemas.openxmlformats.org/spreadsheetml/2006/main" count="59" uniqueCount="58">
  <si>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CD-P3 · Resource Allocation Plan</t>
  </si>
  <si>
    <t xml:space="preserve">Consumer Duty Implementation — Programme Delivery</t>
  </si>
  <si>
    <t xml:space="preserve">Purpose</t>
  </si>
  <si>
    <t xml:space="preserve">This plan allocates people resource (FTE) to each Consumer Duty workstream across the Implementation Roadmap (CD-P3), identifying over- or under-resourced areas before delivery begins.</t>
  </si>
  <si>
    <t xml:space="preserve">How to use this workbook</t>
  </si>
  <si>
    <t xml:space="preserve">1. List each workstream and the roles/functions contributing to it.
2. Enter Allocated FTE and Required FTE for each row — the Variance calculates automatically.
3. Review the Summary tab for total resource demand vs capacity by function.
4. Update monthly as the programme progresses and priorities shift.</t>
  </si>
  <si>
    <t xml:space="preserve">Note</t>
  </si>
  <si>
    <t xml:space="preserve">FTE (full-time equivalent) should reflect the proportion of a role's capacity dedicated to this workstream, not headcount — e.g., 0.2 FTE means one-fifth of one person's time.</t>
  </si>
  <si>
    <t xml:space="preserve">CD-P3 · Resource Summary</t>
  </si>
  <si>
    <t xml:space="preserve">Auto-calculates from the Resource Allocation Plan</t>
  </si>
  <si>
    <t xml:space="preserve">Metric</t>
  </si>
  <si>
    <t xml:space="preserve">Value</t>
  </si>
  <si>
    <t xml:space="preserve">Total Allocated FTE</t>
  </si>
  <si>
    <t xml:space="preserve">Total Required FTE</t>
  </si>
  <si>
    <t xml:space="preserve">Overall FTE Gap</t>
  </si>
  <si>
    <t xml:space="preserve">Workstreams Under-Resourced</t>
  </si>
  <si>
    <t xml:space="preserve">Under-resourced workstreams should be flagged to the Consumer Duty Oversight Committee and reflected in the Implementation Roadmap (CD-P3).</t>
  </si>
  <si>
    <t xml:space="preserve">Allocated vs required FTE by workstream and function — variance calculates automatically</t>
  </si>
  <si>
    <t xml:space="preserve">Ref</t>
  </si>
  <si>
    <t xml:space="preserve">Workstream</t>
  </si>
  <si>
    <t xml:space="preserve">Function / Role</t>
  </si>
  <si>
    <t xml:space="preserve">Allocated
FTE</t>
  </si>
  <si>
    <t xml:space="preserve">Required
FTE</t>
  </si>
  <si>
    <t xml:space="preserve">Variance</t>
  </si>
  <si>
    <t xml:space="preserve">Risk if Unresourced</t>
  </si>
  <si>
    <t xml:space="preserve">Owner</t>
  </si>
  <si>
    <t xml:space="preserve">RES-01</t>
  </si>
  <si>
    <t xml:space="preserve">Foundation</t>
  </si>
  <si>
    <t xml:space="preserve">Compliance</t>
  </si>
  <si>
    <t xml:space="preserve">Low — assessment phase largely complete.</t>
  </si>
  <si>
    <t xml:space="preserve">RES-02</t>
  </si>
  <si>
    <t xml:space="preserve">Governance</t>
  </si>
  <si>
    <t xml:space="preserve">Company Secretariat</t>
  </si>
  <si>
    <t xml:space="preserve">Medium — committee papers may slip without additional support.</t>
  </si>
  <si>
    <t xml:space="preserve">RES-03</t>
  </si>
  <si>
    <t xml:space="preserve">Products &amp; Services</t>
  </si>
  <si>
    <t xml:space="preserve">Product Management</t>
  </si>
  <si>
    <t xml:space="preserve">High — target market work across 30+ products cannot complete on time.</t>
  </si>
  <si>
    <t xml:space="preserve">RES-04</t>
  </si>
  <si>
    <t xml:space="preserve">Price &amp; Value</t>
  </si>
  <si>
    <t xml:space="preserve">Pricing/Actuarial</t>
  </si>
  <si>
    <t xml:space="preserve">High — FVA refresh for high-risk products will be delayed.</t>
  </si>
  <si>
    <t xml:space="preserve">RES-05</t>
  </si>
  <si>
    <t xml:space="preserve">Consumer Understanding</t>
  </si>
  <si>
    <t xml:space="preserve">Marketing/Design</t>
  </si>
  <si>
    <t xml:space="preserve">Medium — communication testing timeline at risk.</t>
  </si>
  <si>
    <t xml:space="preserve">RES-06</t>
  </si>
  <si>
    <t xml:space="preserve">Consumer Support</t>
  </si>
  <si>
    <t xml:space="preserve">Customer Operations</t>
  </si>
  <si>
    <t xml:space="preserve">Medium — vulnerable customer rollout may need to phase.</t>
  </si>
  <si>
    <t xml:space="preserve">RES-07</t>
  </si>
  <si>
    <t xml:space="preserve">Monitoring</t>
  </si>
  <si>
    <t xml:space="preserve">Data &amp; MI</t>
  </si>
  <si>
    <t xml:space="preserve">High — outcomes dashboard build will slip without additional analyst support.</t>
  </si>
  <si>
    <t xml:space="preserve">RES-08</t>
  </si>
  <si>
    <t xml:space="preserve">Training</t>
  </si>
  <si>
    <t xml:space="preserve">Learning &amp; Development</t>
  </si>
  <si>
    <t xml:space="preserve">Medium — role-based training content development slower than planned.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</si>
</sst>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\+0.0;\-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27.75" hidden="false" customHeight="true" outlineLevel="0" collapsed="false">
      <c r="A1" s="1" t="s">
        <v>8</v>
      </c>
      <c r="B1" s="1"/>
      <c r="C1" s="1"/>
    </row>
    <row r="2" customFormat="false" ht="19.5" hidden="false" customHeight="true" outlineLevel="0" collapsed="false">
      <c r="A2" s="2" t="s">
        <v>9</v>
      </c>
      <c r="B2" s="2"/>
      <c r="C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SUM('Resource Allocation'!D5:D12)</f>
        <v>4.6</v>
      </c>
    </row>
    <row r="6" customFormat="false" ht="15" hidden="false" customHeight="false" outlineLevel="0" collapsed="false">
      <c r="A6" s="6" t="s">
        <v>13</v>
      </c>
      <c r="B6" s="7" t="n">
        <f aca="false">SUM('Resource Allocation'!E5:E12)</f>
        <v>7</v>
      </c>
    </row>
    <row r="7" customFormat="false" ht="15" hidden="false" customHeight="false" outlineLevel="0" collapsed="false">
      <c r="A7" s="6" t="s">
        <v>14</v>
      </c>
      <c r="B7" s="7" t="n">
        <f aca="false">SUM('Resource Allocation'!D5:D12)-SUM('Resource Allocation'!E5:E12)</f>
        <v>-2.4</v>
      </c>
    </row>
    <row r="8" customFormat="false" ht="15" hidden="false" customHeight="false" outlineLevel="0" collapsed="false">
      <c r="A8" s="6" t="s">
        <v>15</v>
      </c>
      <c r="B8" s="7" t="n">
        <f aca="false">COUNTIF('Resource Allocation'!F5:F12,"&lt;0")</f>
        <v>7</v>
      </c>
    </row>
    <row r="10" customFormat="false" ht="15" hidden="false" customHeight="false" outlineLevel="0" collapsed="false">
      <c r="A10" s="8" t="s">
        <v>16</v>
      </c>
      <c r="B10" s="8"/>
    </row>
  </sheetData>
  <mergeCells count="3">
    <mergeCell ref="A1:C1"/>
    <mergeCell ref="A2:C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customFormat="false" ht="33.75" hidden="false" customHeight="true" outlineLevel="0" collapsed="false">
      <c r="A5" s="9" t="s">
        <v>26</v>
      </c>
      <c r="B5" s="10" t="s">
        <v>27</v>
      </c>
      <c r="C5" s="6" t="s">
        <v>28</v>
      </c>
      <c r="D5" s="11" t="n">
        <v>0.6</v>
      </c>
      <c r="E5" s="11" t="n">
        <v>0.5</v>
      </c>
      <c r="F5" s="12" t="n">
        <f aca="false">D5-E5</f>
        <v>0.1</v>
      </c>
      <c r="G5" s="10" t="s">
        <v>29</v>
      </c>
      <c r="H5" s="6"/>
    </row>
    <row r="6" customFormat="false" ht="33.75" hidden="false" customHeight="true" outlineLevel="0" collapsed="false">
      <c r="A6" s="13" t="s">
        <v>30</v>
      </c>
      <c r="B6" s="14" t="s">
        <v>31</v>
      </c>
      <c r="C6" s="15" t="s">
        <v>32</v>
      </c>
      <c r="D6" s="16" t="n">
        <v>0.3</v>
      </c>
      <c r="E6" s="16" t="n">
        <v>0.4</v>
      </c>
      <c r="F6" s="17" t="n">
        <f aca="false">D6-E6</f>
        <v>-0.1</v>
      </c>
      <c r="G6" s="14" t="s">
        <v>33</v>
      </c>
      <c r="H6" s="15"/>
    </row>
    <row r="7" customFormat="false" ht="33.75" hidden="false" customHeight="true" outlineLevel="0" collapsed="false">
      <c r="A7" s="9" t="s">
        <v>34</v>
      </c>
      <c r="B7" s="10" t="s">
        <v>35</v>
      </c>
      <c r="C7" s="6" t="s">
        <v>36</v>
      </c>
      <c r="D7" s="11" t="n">
        <v>1.2</v>
      </c>
      <c r="E7" s="11" t="n">
        <v>2</v>
      </c>
      <c r="F7" s="12" t="n">
        <f aca="false">D7-E7</f>
        <v>-0.8</v>
      </c>
      <c r="G7" s="10" t="s">
        <v>37</v>
      </c>
      <c r="H7" s="6"/>
    </row>
    <row r="8" customFormat="false" ht="33.75" hidden="false" customHeight="true" outlineLevel="0" collapsed="false">
      <c r="A8" s="13" t="s">
        <v>38</v>
      </c>
      <c r="B8" s="14" t="s">
        <v>39</v>
      </c>
      <c r="C8" s="15" t="s">
        <v>40</v>
      </c>
      <c r="D8" s="16" t="n">
        <v>0.5</v>
      </c>
      <c r="E8" s="16" t="n">
        <v>1</v>
      </c>
      <c r="F8" s="17" t="n">
        <f aca="false">D8-E8</f>
        <v>-0.5</v>
      </c>
      <c r="G8" s="14" t="s">
        <v>41</v>
      </c>
      <c r="H8" s="15"/>
    </row>
    <row r="9" customFormat="false" ht="33.75" hidden="false" customHeight="true" outlineLevel="0" collapsed="false">
      <c r="A9" s="9" t="s">
        <v>42</v>
      </c>
      <c r="B9" s="10" t="s">
        <v>43</v>
      </c>
      <c r="C9" s="6" t="s">
        <v>44</v>
      </c>
      <c r="D9" s="11" t="n">
        <v>0.4</v>
      </c>
      <c r="E9" s="11" t="n">
        <v>0.6</v>
      </c>
      <c r="F9" s="12" t="n">
        <f aca="false">D9-E9</f>
        <v>-0.2</v>
      </c>
      <c r="G9" s="10" t="s">
        <v>45</v>
      </c>
      <c r="H9" s="6"/>
    </row>
    <row r="10" customFormat="false" ht="33.75" hidden="false" customHeight="true" outlineLevel="0" collapsed="false">
      <c r="A10" s="13" t="s">
        <v>46</v>
      </c>
      <c r="B10" s="14" t="s">
        <v>47</v>
      </c>
      <c r="C10" s="15" t="s">
        <v>48</v>
      </c>
      <c r="D10" s="16" t="n">
        <v>0.8</v>
      </c>
      <c r="E10" s="16" t="n">
        <v>1</v>
      </c>
      <c r="F10" s="17" t="n">
        <f aca="false">D10-E10</f>
        <v>-0.2</v>
      </c>
      <c r="G10" s="14" t="s">
        <v>49</v>
      </c>
      <c r="H10" s="15"/>
    </row>
    <row r="11" customFormat="false" ht="33.75" hidden="false" customHeight="true" outlineLevel="0" collapsed="false">
      <c r="A11" s="9" t="s">
        <v>50</v>
      </c>
      <c r="B11" s="10" t="s">
        <v>51</v>
      </c>
      <c r="C11" s="6" t="s">
        <v>52</v>
      </c>
      <c r="D11" s="11" t="n">
        <v>0.5</v>
      </c>
      <c r="E11" s="11" t="n">
        <v>1</v>
      </c>
      <c r="F11" s="12" t="n">
        <f aca="false">D11-E11</f>
        <v>-0.5</v>
      </c>
      <c r="G11" s="10" t="s">
        <v>53</v>
      </c>
      <c r="H11" s="6"/>
    </row>
    <row r="12" customFormat="false" ht="33.75" hidden="false" customHeight="true" outlineLevel="0" collapsed="false">
      <c r="A12" s="13" t="s">
        <v>54</v>
      </c>
      <c r="B12" s="14" t="s">
        <v>55</v>
      </c>
      <c r="C12" s="15" t="s">
        <v>56</v>
      </c>
      <c r="D12" s="16" t="n">
        <v>0.3</v>
      </c>
      <c r="E12" s="16" t="n">
        <v>0.5</v>
      </c>
      <c r="F12" s="17" t="n">
        <f aca="false">D12-E12</f>
        <v>-0.2</v>
      </c>
      <c r="G12" s="14" t="s">
        <v>57</v>
      </c>
      <c r="H12" s="15"/>
    </row>
  </sheetData>
  <mergeCells count="2">
    <mergeCell ref="A1:H1"/>
    <mergeCell ref="A2:H2"/>
  </mergeCells>
  <conditionalFormatting sqref="F5:F12">
    <cfRule type="cellIs" priority="2" operator="lessThan" aboveAverage="0" equalAverage="0" bottom="0" percent="0" rank="0" text="" dxfId="0">
      <formula>-0.3</formula>
    </cfRule>
    <cfRule type="cellIs" priority="3" operator="between" aboveAverage="0" equalAverage="0" bottom="0" percent="0" rank="0" text="" dxfId="1">
      <formula>-0.3</formula>
      <formula>-0.01</formula>
    </cfRule>
    <cfRule type="cellIs" priority="4" operator="greaterThanOr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2026-08-05T20:37:49Z</dcterms:created>
  <dc:creator>openpyxl</dc:creator>
  <dc:description/>
  <dc:language>en-US</dc:language>
  <cp:lastModifiedBy/>
  <dcterms:modified xsi:type="dcterms:W3CDTF">2026-08-05T20:37:49Z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