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hannel Assess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<sst xmlns="http://schemas.openxmlformats.org/spreadsheetml/2006/main" count="32" uniqueCount="31">
  <si>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CD-I4 · Service Channel Assessment</t>
  </si>
  <si>
    <t xml:space="preserve">Consumer Duty Implementation — Consumer Support Outcome</t>
  </si>
  <si>
    <t xml:space="preserve">Purpose</t>
  </si>
  <si>
    <t xml:space="preserve">This assessment evaluates each customer support channel (phone, webchat, branch, self-service, etc.) against Consumer Duty support standards, including accessibility for customers with characteristics of vulnerability.</t>
  </si>
  <si>
    <t xml:space="preserve">How to use this workbook</t>
  </si>
  <si>
    <t xml:space="preserve">1. Complete one row per channel.
2. Score Accessibility, Responsiveness, and Effectiveness 1 (Poor) to 5 (Excellent).
3. The Overall Rating calculates automatically.
4. Review the Summary tab for channels requiring investment or remediation.</t>
  </si>
  <si>
    <t xml:space="preserve">Note</t>
  </si>
  <si>
    <t xml:space="preserve">Accessibility should specifically consider customers with visual, hearing, cognitive, or physical impairments, and those without reliable internet access — not just average-customer usability.</t>
  </si>
  <si>
    <t xml:space="preserve">Score 1 (Poor) to 5 (Excellent) — Overall Rating calculates automatically</t>
  </si>
  <si>
    <t xml:space="preserve">Ref</t>
  </si>
  <si>
    <t xml:space="preserve">Channel</t>
  </si>
  <si>
    <t xml:space="preserve">Accessibility
(1-5)</t>
  </si>
  <si>
    <t xml:space="preserve">Responsiveness
(1-5)</t>
  </si>
  <si>
    <t xml:space="preserve">Effectiveness
(1-5)</t>
  </si>
  <si>
    <t xml:space="preserve">Overall
Rating</t>
  </si>
  <si>
    <t xml:space="preserve">Vulnerable Customer Considerations</t>
  </si>
  <si>
    <t xml:space="preserve">CH-01</t>
  </si>
  <si>
    <t xml:space="preserve">Telephone</t>
  </si>
  <si>
    <t xml:space="preserve">TTY/Relay UK service available; call-back option for long wait times.</t>
  </si>
  <si>
    <t xml:space="preserve">CH-02</t>
  </si>
  <si>
    <t xml:space="preserve">Webchat</t>
  </si>
  <si>
    <t xml:space="preserve">Screen-reader compatible; no option to escalate to voice call directly from chat.</t>
  </si>
  <si>
    <t xml:space="preserve">CH-03</t>
  </si>
  <si>
    <t xml:space="preserve">Branch</t>
  </si>
  <si>
    <t xml:space="preserve">Fully accessible premises; limited opening hours may disadvantage some customers.</t>
  </si>
  <si>
    <t xml:space="preserve">CH-04</t>
  </si>
  <si>
    <t xml:space="preserve">Online Self-Service Portal</t>
  </si>
  <si>
    <t xml:space="preserve">Not screen-reader optimised; no alternative format offered for key documents.</t>
  </si>
  <si>
    <t xml:space="preserve">CH-05</t>
  </si>
  <si>
    <t xml:space="preserve">Postal</t>
  </si>
  <si>
    <t xml:space="preserve">Only channel offering non-digital, non-verbal option; slow but accessible for digitally excluded customers.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</si>
</sst>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customFormat="false" ht="33.75" hidden="false" customHeight="true" outlineLevel="0" collapsed="false">
      <c r="A5" s="6" t="s">
        <v>16</v>
      </c>
      <c r="B5" s="7" t="s">
        <v>17</v>
      </c>
      <c r="C5" s="6" t="n">
        <v>4</v>
      </c>
      <c r="D5" s="6" t="n">
        <v>3</v>
      </c>
      <c r="E5" s="6" t="n">
        <v>4</v>
      </c>
      <c r="F5" s="8" t="n">
        <f aca="false">IFERROR(AVERAGE(C5:E5),"")</f>
        <v>3.66666666666667</v>
      </c>
      <c r="G5" s="9" t="s">
        <v>18</v>
      </c>
    </row>
    <row r="6" customFormat="false" ht="33.75" hidden="false" customHeight="true" outlineLevel="0" collapsed="false">
      <c r="A6" s="10" t="s">
        <v>19</v>
      </c>
      <c r="B6" s="11" t="s">
        <v>20</v>
      </c>
      <c r="C6" s="10" t="n">
        <v>3</v>
      </c>
      <c r="D6" s="10" t="n">
        <v>4</v>
      </c>
      <c r="E6" s="10" t="n">
        <v>3</v>
      </c>
      <c r="F6" s="12" t="n">
        <f aca="false">IFERROR(AVERAGE(C6:E6),"")</f>
        <v>3.33333333333333</v>
      </c>
      <c r="G6" s="13" t="s">
        <v>21</v>
      </c>
    </row>
    <row r="7" customFormat="false" ht="33.75" hidden="false" customHeight="true" outlineLevel="0" collapsed="false">
      <c r="A7" s="6" t="s">
        <v>22</v>
      </c>
      <c r="B7" s="7" t="s">
        <v>23</v>
      </c>
      <c r="C7" s="6" t="n">
        <v>5</v>
      </c>
      <c r="D7" s="6" t="n">
        <v>3</v>
      </c>
      <c r="E7" s="6" t="n">
        <v>5</v>
      </c>
      <c r="F7" s="8" t="n">
        <f aca="false">IFERROR(AVERAGE(C7:E7),"")</f>
        <v>4.33333333333333</v>
      </c>
      <c r="G7" s="9" t="s">
        <v>24</v>
      </c>
    </row>
    <row r="8" customFormat="false" ht="33.75" hidden="false" customHeight="true" outlineLevel="0" collapsed="false">
      <c r="A8" s="10" t="s">
        <v>25</v>
      </c>
      <c r="B8" s="11" t="s">
        <v>26</v>
      </c>
      <c r="C8" s="10" t="n">
        <v>2</v>
      </c>
      <c r="D8" s="10" t="n">
        <v>5</v>
      </c>
      <c r="E8" s="10" t="n">
        <v>3</v>
      </c>
      <c r="F8" s="12" t="n">
        <f aca="false">IFERROR(AVERAGE(C8:E8),"")</f>
        <v>3.33333333333333</v>
      </c>
      <c r="G8" s="13" t="s">
        <v>27</v>
      </c>
    </row>
    <row r="9" customFormat="false" ht="33.75" hidden="false" customHeight="true" outlineLevel="0" collapsed="false">
      <c r="A9" s="6" t="s">
        <v>28</v>
      </c>
      <c r="B9" s="7" t="s">
        <v>29</v>
      </c>
      <c r="C9" s="6" t="n">
        <v>3</v>
      </c>
      <c r="D9" s="6" t="n">
        <v>1</v>
      </c>
      <c r="E9" s="6" t="n">
        <v>3</v>
      </c>
      <c r="F9" s="8" t="n">
        <f aca="false">IFERROR(AVERAGE(C9:E9),"")</f>
        <v>2.33333333333333</v>
      </c>
      <c r="G9" s="9" t="s">
        <v>30</v>
      </c>
    </row>
  </sheetData>
  <mergeCells count="2">
    <mergeCell ref="A1:G1"/>
    <mergeCell ref="A2:G2"/>
  </mergeCells>
  <conditionalFormatting sqref="F5:F9">
    <cfRule type="expression" priority="2" aboveAverage="0" equalAverage="0" bottom="0" percent="0" rank="0" text="" dxfId="0">
      <formula>F5&lt;2.5</formula>
    </cfRule>
    <cfRule type="expression" priority="3" aboveAverage="0" equalAverage="0" bottom="0" percent="0" rank="0" text="" dxfId="1">
      <formula>AND(F5&gt;=2.5,F5&lt;4)</formula>
    </cfRule>
    <cfRule type="expression" priority="4" aboveAverage="0" equalAverage="0" bottom="0" percent="0" rank="0" text="" dxfId="2">
      <formula>F5&gt;=4</formula>
    </cfRule>
  </conditionalFormatting>
  <dataValidations count="3">
    <dataValidation allowBlank="true" errorStyle="stop" operator="between" showDropDown="false" showErrorMessage="false" showInputMessage="false" sqref="C5:C9" type="list">
      <formula1>"1,2,3,4,5"</formula1>
      <formula2>0</formula2>
    </dataValidation>
    <dataValidation allowBlank="true" errorStyle="stop" operator="between" showDropDown="false" showErrorMessage="false" showInputMessage="false" sqref="D5:D9" type="list">
      <formula1>"1,2,3,4,5"</formula1>
      <formula2>0</formula2>
    </dataValidation>
    <dataValidation allowBlank="true" errorStyle="stop" operator="between" showDropDown="false" showErrorMessage="false" showInputMessage="false" sqref="E5:E9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2026-08-05T20:49:02Z</dcterms:created>
  <dc:creator>openpyxl</dc:creator>
  <dc:description/>
  <dc:language>en-US</dc:language>
  <cp:lastModifiedBy/>
  <dcterms:modified xsi:type="dcterms:W3CDTF">2026-08-05T20:49:02Z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