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Complaints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<sst xmlns="http://schemas.openxmlformats.org/spreadsheetml/2006/main" count="52" uniqueCount="44">
  <si>
    <t xml:space="preserve">CD-I4 · Complaints Analysis Template</t>
  </si>
  <si>
    <t xml:space="preserve">Consumer Duty Implementation — Consumer Support Outcome</t>
  </si>
  <si>
    <t xml:space="preserve">Purpose</t>
  </si>
  <si>
    <t xml:space="preserve">This template categorises and analyses customer complaints to identify Consumer Duty themes, feeding root cause analysis (see Root Cause Analysis Template, CD-I4) and the Gap Analysis Framework (CD-F1).</t>
  </si>
  <si>
    <t xml:space="preserve">How to use this workbook</t>
  </si>
  <si>
    <t xml:space="preserve">1. Log each complaint theme (not individual complaints) as a row.
2. Record volume, the Consumer Duty outcome affected, and trend vs the prior period.
3. Select Severity — RAG calculates automatically.
4. Review the Summary tab for theme volumes by outcome area.</t>
  </si>
  <si>
    <t xml:space="preserve">Note</t>
  </si>
  <si>
    <t xml:space="preserve">This template is designed for thematic/aggregate analysis. Individual complaint case management should continue to use the firm's existing complaints-handling system.</t>
  </si>
  <si>
    <t xml:space="preserve">CD-I4 · Complaints Summary</t>
  </si>
  <si>
    <t xml:space="preserve">Auto-calculates from the Complaints Register</t>
  </si>
  <si>
    <t xml:space="preserve">Category</t>
  </si>
  <si>
    <t xml:space="preserve">Count</t>
  </si>
  <si>
    <t xml:space="preserve">Cross-Cutting Rules</t>
  </si>
  <si>
    <t xml:space="preserve">Products and Services</t>
  </si>
  <si>
    <t xml:space="preserve">Price and Value</t>
  </si>
  <si>
    <t xml:space="preserve">Consumer Understanding</t>
  </si>
  <si>
    <t xml:space="preserve">Consumer Support</t>
  </si>
  <si>
    <t xml:space="preserve">Themes rated Critical or High should be referred to the Root Cause Analysis Template (CD-I4).</t>
  </si>
  <si>
    <t xml:space="preserve">CD-I4 · Complaints Theme Register</t>
  </si>
  <si>
    <t xml:space="preserve">Thematic complaint volumes with severity-driven RAG</t>
  </si>
  <si>
    <t xml:space="preserve">Ref</t>
  </si>
  <si>
    <t xml:space="preserve">Complaint Theme</t>
  </si>
  <si>
    <t xml:space="preserve">Outcome Affected</t>
  </si>
  <si>
    <t xml:space="preserve">Volume
(this period)</t>
  </si>
  <si>
    <t xml:space="preserve">Volume
(prior period)</t>
  </si>
  <si>
    <t xml:space="preserve">Trend</t>
  </si>
  <si>
    <t xml:space="preserve">Severity</t>
  </si>
  <si>
    <t xml:space="preserve">RAG</t>
  </si>
  <si>
    <t xml:space="preserve">CMP-01</t>
  </si>
  <si>
    <t xml:space="preserve">Delays in claims settlement</t>
  </si>
  <si>
    <t xml:space="preserve">High</t>
  </si>
  <si>
    <t xml:space="preserve">CMP-02</t>
  </si>
  <si>
    <t xml:space="preserve">Unclear fee disclosure at point of sale</t>
  </si>
  <si>
    <t xml:space="preserve">Medium</t>
  </si>
  <si>
    <t xml:space="preserve">CMP-03</t>
  </si>
  <si>
    <t xml:space="preserve">Difficulty cancelling recurring payment</t>
  </si>
  <si>
    <t xml:space="preserve">CMP-04</t>
  </si>
  <si>
    <t xml:space="preserve">Product not matching sales description</t>
  </si>
  <si>
    <t xml:space="preserve">CMP-05</t>
  </si>
  <si>
    <t xml:space="preserve">Renewal pricing higher than new customer pricing</t>
  </si>
  <si>
    <t xml:space="preserve">Critical</t>
  </si>
  <si>
    <t xml:space="preserve">CMP-06</t>
  </si>
  <si>
    <t xml:space="preserve">Long call wait times</t>
  </si>
  <si>
    <t xml:space="preserve">Low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</si>
</sst>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+0%;\-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COUNTIF('Complaints Register'!C5:C10,A5)</f>
        <v>0</v>
      </c>
    </row>
    <row r="6" customFormat="false" ht="15" hidden="false" customHeight="false" outlineLevel="0" collapsed="false">
      <c r="A6" s="6" t="s">
        <v>13</v>
      </c>
      <c r="B6" s="7" t="n">
        <f aca="false">COUNTIF('Complaints Register'!C5:C10,A6)</f>
        <v>1</v>
      </c>
    </row>
    <row r="7" customFormat="false" ht="15" hidden="false" customHeight="false" outlineLevel="0" collapsed="false">
      <c r="A7" s="6" t="s">
        <v>14</v>
      </c>
      <c r="B7" s="7" t="n">
        <f aca="false">COUNTIF('Complaints Register'!C5:C10,A7)</f>
        <v>1</v>
      </c>
    </row>
    <row r="8" customFormat="false" ht="15" hidden="false" customHeight="false" outlineLevel="0" collapsed="false">
      <c r="A8" s="6" t="s">
        <v>15</v>
      </c>
      <c r="B8" s="7" t="n">
        <f aca="false">COUNTIF('Complaints Register'!C5:C10,A8)</f>
        <v>1</v>
      </c>
    </row>
    <row r="9" customFormat="false" ht="15" hidden="false" customHeight="false" outlineLevel="0" collapsed="false">
      <c r="A9" s="6" t="s">
        <v>16</v>
      </c>
      <c r="B9" s="7" t="n">
        <f aca="false">COUNTIF('Complaints Register'!C5:C10,A9)</f>
        <v>3</v>
      </c>
    </row>
    <row r="11" customFormat="false" ht="15" hidden="false" customHeight="false" outlineLevel="0" collapsed="false">
      <c r="A11" s="8" t="s">
        <v>17</v>
      </c>
      <c r="B11" s="8"/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</row>
    <row r="5" customFormat="false" ht="33.75" hidden="false" customHeight="true" outlineLevel="0" collapsed="false">
      <c r="A5" s="9" t="s">
        <v>28</v>
      </c>
      <c r="B5" s="10" t="s">
        <v>29</v>
      </c>
      <c r="C5" s="6" t="s">
        <v>16</v>
      </c>
      <c r="D5" s="9" t="n">
        <v>142</v>
      </c>
      <c r="E5" s="9" t="n">
        <v>98</v>
      </c>
      <c r="F5" s="11" t="n">
        <f aca="false">IFERROR((D5-E5)/E5,"")</f>
        <v>0.448979591836735</v>
      </c>
      <c r="G5" s="9" t="s">
        <v>30</v>
      </c>
      <c r="H5" s="12" t="str">
        <f aca="false">IF(G5="","",IF(G5="Critical","Red",IF(G5="High","Red",IF(G5="Medium","Amber","Green"))))</f>
        <v>Red</v>
      </c>
    </row>
    <row r="6" customFormat="false" ht="33.75" hidden="false" customHeight="true" outlineLevel="0" collapsed="false">
      <c r="A6" s="13" t="s">
        <v>31</v>
      </c>
      <c r="B6" s="14" t="s">
        <v>32</v>
      </c>
      <c r="C6" s="15" t="s">
        <v>15</v>
      </c>
      <c r="D6" s="13" t="n">
        <v>67</v>
      </c>
      <c r="E6" s="13" t="n">
        <v>71</v>
      </c>
      <c r="F6" s="16" t="n">
        <f aca="false">IFERROR((D6-E6)/E6,"")</f>
        <v>-0.0563380281690141</v>
      </c>
      <c r="G6" s="13" t="s">
        <v>33</v>
      </c>
      <c r="H6" s="17" t="str">
        <f aca="false">IF(G6="","",IF(G6="Critical","Red",IF(G6="High","Red",IF(G6="Medium","Amber","Green"))))</f>
        <v>Amber</v>
      </c>
    </row>
    <row r="7" customFormat="false" ht="33.75" hidden="false" customHeight="true" outlineLevel="0" collapsed="false">
      <c r="A7" s="9" t="s">
        <v>34</v>
      </c>
      <c r="B7" s="10" t="s">
        <v>35</v>
      </c>
      <c r="C7" s="6" t="s">
        <v>16</v>
      </c>
      <c r="D7" s="9" t="n">
        <v>54</v>
      </c>
      <c r="E7" s="9" t="n">
        <v>22</v>
      </c>
      <c r="F7" s="11" t="n">
        <f aca="false">IFERROR((D7-E7)/E7,"")</f>
        <v>1.45454545454545</v>
      </c>
      <c r="G7" s="9" t="s">
        <v>30</v>
      </c>
      <c r="H7" s="12" t="str">
        <f aca="false">IF(G7="","",IF(G7="Critical","Red",IF(G7="High","Red",IF(G7="Medium","Amber","Green"))))</f>
        <v>Red</v>
      </c>
    </row>
    <row r="8" customFormat="false" ht="33.75" hidden="false" customHeight="true" outlineLevel="0" collapsed="false">
      <c r="A8" s="13" t="s">
        <v>36</v>
      </c>
      <c r="B8" s="14" t="s">
        <v>37</v>
      </c>
      <c r="C8" s="15" t="s">
        <v>13</v>
      </c>
      <c r="D8" s="13" t="n">
        <v>31</v>
      </c>
      <c r="E8" s="13" t="n">
        <v>35</v>
      </c>
      <c r="F8" s="16" t="n">
        <f aca="false">IFERROR((D8-E8)/E8,"")</f>
        <v>-0.114285714285714</v>
      </c>
      <c r="G8" s="13" t="s">
        <v>33</v>
      </c>
      <c r="H8" s="17" t="str">
        <f aca="false">IF(G8="","",IF(G8="Critical","Red",IF(G8="High","Red",IF(G8="Medium","Amber","Green"))))</f>
        <v>Amber</v>
      </c>
    </row>
    <row r="9" customFormat="false" ht="33.75" hidden="false" customHeight="true" outlineLevel="0" collapsed="false">
      <c r="A9" s="9" t="s">
        <v>38</v>
      </c>
      <c r="B9" s="10" t="s">
        <v>39</v>
      </c>
      <c r="C9" s="6" t="s">
        <v>14</v>
      </c>
      <c r="D9" s="9" t="n">
        <v>89</v>
      </c>
      <c r="E9" s="9" t="n">
        <v>40</v>
      </c>
      <c r="F9" s="11" t="n">
        <f aca="false">IFERROR((D9-E9)/E9,"")</f>
        <v>1.225</v>
      </c>
      <c r="G9" s="9" t="s">
        <v>40</v>
      </c>
      <c r="H9" s="12" t="str">
        <f aca="false">IF(G9="","",IF(G9="Critical","Red",IF(G9="High","Red",IF(G9="Medium","Amber","Green"))))</f>
        <v>Red</v>
      </c>
    </row>
    <row r="10" customFormat="false" ht="33.75" hidden="false" customHeight="true" outlineLevel="0" collapsed="false">
      <c r="A10" s="13" t="s">
        <v>41</v>
      </c>
      <c r="B10" s="14" t="s">
        <v>42</v>
      </c>
      <c r="C10" s="15" t="s">
        <v>16</v>
      </c>
      <c r="D10" s="13" t="n">
        <v>210</v>
      </c>
      <c r="E10" s="13" t="n">
        <v>205</v>
      </c>
      <c r="F10" s="16" t="n">
        <f aca="false">IFERROR((D10-E10)/E10,"")</f>
        <v>0.024390243902439</v>
      </c>
      <c r="G10" s="13" t="s">
        <v>43</v>
      </c>
      <c r="H10" s="17" t="str">
        <f aca="false">IF(G10="","",IF(G10="Critical","Red",IF(G10="High","Red",IF(G10="Medium","Amber","Green"))))</f>
        <v>Green</v>
      </c>
    </row>
  </sheetData>
  <mergeCells count="2">
    <mergeCell ref="A1:H1"/>
    <mergeCell ref="A2:H2"/>
  </mergeCells>
  <conditionalFormatting sqref="H5:H10">
    <cfRule type="expression" priority="2" aboveAverage="0" equalAverage="0" bottom="0" percent="0" rank="0" text="" dxfId="0">
      <formula>H5="Red"</formula>
    </cfRule>
    <cfRule type="expression" priority="3" aboveAverage="0" equalAverage="0" bottom="0" percent="0" rank="0" text="" dxfId="1">
      <formula>H5="Amber"</formula>
    </cfRule>
    <cfRule type="expression" priority="4" aboveAverage="0" equalAverage="0" bottom="0" percent="0" rank="0" text="" dxfId="2">
      <formula>H5="Green"</formula>
    </cfRule>
    <cfRule type="expression" priority="5" aboveAverage="0" equalAverage="0" bottom="0" percent="0" rank="0" text="" dxfId="3">
      <formula>H5="Grey"</formula>
    </cfRule>
  </conditionalFormatting>
  <dataValidations count="1">
    <dataValidation allowBlank="true" errorStyle="stop" operator="between" showDropDown="false" showErrorMessage="false" showInputMessage="false" sqref="G5:G10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2026-08-05T20:48:59Z</dcterms:created>
  <dc:creator>openpyxl</dc:creator>
  <dc:description/>
  <dc:language>en-US</dc:language>
  <cp:lastModifiedBy/>
  <dcterms:modified xsi:type="dcterms:W3CDTF">2026-08-05T20:48:59Z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