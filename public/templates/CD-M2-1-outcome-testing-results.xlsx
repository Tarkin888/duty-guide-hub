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Testing Resul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<sst xmlns="http://schemas.openxmlformats.org/spreadsheetml/2006/main" count="50" uniqueCount="47">
  <si>
    <t xml:space="preserve">CD-M2 · Outcome Testing Results Template</t>
  </si>
  <si>
    <t xml:space="preserve">Consumer Duty Implementation — Monitoring &amp; Assurance</t>
  </si>
  <si>
    <t xml:space="preserve">Purpose</t>
  </si>
  <si>
    <t xml:space="preserve">This template records the results of outcome testing — direct checks that customers are experiencing the outcomes the firm intends — providing evidence beyond MI and complaints data, per PRIN 2A.9.4R.</t>
  </si>
  <si>
    <t xml:space="preserve">How to use this workbook</t>
  </si>
  <si>
    <t xml:space="preserve">1. Complete one row per outcome test performed (e.g., file review, mystery shopping, customer outcome sampling).
2. Record the sample size, pass rate, and findings.
3. The Result calculates automatically against an 85% pass threshold.
4. Review the Summary tab for testing coverage across products and outcomes.</t>
  </si>
  <si>
    <t xml:space="preserve">Testing methods</t>
  </si>
  <si>
    <t xml:space="preserve">File review — sampling customer files/interactions against a defined quality standard.
Mystery shopping — simulating a customer journey to test real-world experience.
Outcome sampling — reviewing a random sample of completed transactions for evidence of good/poor outcomes.</t>
  </si>
  <si>
    <t xml:space="preserve">CD-M2 · Outcome Testing Summary</t>
  </si>
  <si>
    <t xml:space="preserve">Auto-calculates from Testing Results</t>
  </si>
  <si>
    <t xml:space="preserve">Category</t>
  </si>
  <si>
    <t xml:space="preserve">Count</t>
  </si>
  <si>
    <t xml:space="preserve">Pass</t>
  </si>
  <si>
    <t xml:space="preserve">Fail</t>
  </si>
  <si>
    <t xml:space="preserve">Failed tests should be logged in the Gap Analysis Framework (CD-F1) and referred to Root Cause Analysis (CD-I4) where relevant.</t>
  </si>
  <si>
    <t xml:space="preserve">CD-M2 · Outcome Testing Results</t>
  </si>
  <si>
    <t xml:space="preserve">Result calculates automatically against an 85% pass threshold</t>
  </si>
  <si>
    <t xml:space="preserve">Ref</t>
  </si>
  <si>
    <t xml:space="preserve">Product / Process Tested</t>
  </si>
  <si>
    <t xml:space="preserve">Outcome Area</t>
  </si>
  <si>
    <t xml:space="preserve">Testing Method</t>
  </si>
  <si>
    <t xml:space="preserve">Sample Size</t>
  </si>
  <si>
    <t xml:space="preserve">Pass Rate</t>
  </si>
  <si>
    <t xml:space="preserve">Result</t>
  </si>
  <si>
    <t xml:space="preserve">Key Findings</t>
  </si>
  <si>
    <t xml:space="preserve">Date</t>
  </si>
  <si>
    <t xml:space="preserve">OT-01</t>
  </si>
  <si>
    <t xml:space="preserve">Fixed Term Personal Loan — affordability checks</t>
  </si>
  <si>
    <t xml:space="preserve">Products and Services</t>
  </si>
  <si>
    <t xml:space="preserve">File review</t>
  </si>
  <si>
    <t xml:space="preserve">Two files lacked full evidence of affordability assessment.</t>
  </si>
  <si>
    <t xml:space="preserve">2026-02-10</t>
  </si>
  <si>
    <t xml:space="preserve">OT-02</t>
  </si>
  <si>
    <t xml:space="preserve">Travel Insurance — claims handling</t>
  </si>
  <si>
    <t xml:space="preserve">Consumer Support</t>
  </si>
  <si>
    <t xml:space="preserve">Several claims exceeded SLA without adequate customer communication.</t>
  </si>
  <si>
    <t xml:space="preserve">2026-02-15</t>
  </si>
  <si>
    <t xml:space="preserve">OT-03</t>
  </si>
  <si>
    <t xml:space="preserve">Stocks &amp; Shares ISA — sales journey</t>
  </si>
  <si>
    <t xml:space="preserve">Consumer Understanding</t>
  </si>
  <si>
    <t xml:space="preserve">Mystery shopping</t>
  </si>
  <si>
    <t xml:space="preserve">Risk warnings delivered consistently; one adviser omitted fee disclosure.</t>
  </si>
  <si>
    <t xml:space="preserve">2026-03-01</t>
  </si>
  <si>
    <t xml:space="preserve">OT-04</t>
  </si>
  <si>
    <t xml:space="preserve">Cancellation journey — all products</t>
  </si>
  <si>
    <t xml:space="preserve">Online cancellation not available for 3 of 5 products tested; phone-only route required.</t>
  </si>
  <si>
    <t xml:space="preserve">2026-03-05</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</si>
</sst>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
      <b val="true"/>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7" fontId="7"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696B"/>
        </patternFill>
      </fill>
    </dxf>
    <dxf>
      <fill>
        <patternFill>
          <bgColor rgb="FF63BE7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8696B"/>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55.5" hidden="false" customHeight="true" outlineLevel="0" collapsed="false">
      <c r="A8" s="4" t="s">
        <v>5</v>
      </c>
      <c r="B8" s="4"/>
    </row>
    <row r="10" customFormat="false" ht="15" hidden="false" customHeight="false" outlineLevel="0" collapsed="false">
      <c r="A10" s="3" t="s">
        <v>6</v>
      </c>
      <c r="B10" s="3"/>
    </row>
    <row r="11" customFormat="false" ht="42"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s>
  <sheetData>
    <row r="1" customFormat="false" ht="27.75" hidden="false" customHeight="true" outlineLevel="0" collapsed="false">
      <c r="A1" s="1" t="s">
        <v>8</v>
      </c>
      <c r="B1" s="1"/>
    </row>
    <row r="2" customFormat="false" ht="19.5" hidden="false" customHeight="true" outlineLevel="0" collapsed="false">
      <c r="A2" s="2" t="s">
        <v>9</v>
      </c>
      <c r="B2" s="2"/>
    </row>
    <row r="4" customFormat="false" ht="15" hidden="false" customHeight="false" outlineLevel="0" collapsed="false">
      <c r="A4" s="5" t="s">
        <v>10</v>
      </c>
      <c r="B4" s="5" t="s">
        <v>11</v>
      </c>
    </row>
    <row r="5" customFormat="false" ht="15" hidden="false" customHeight="false" outlineLevel="0" collapsed="false">
      <c r="A5" s="6" t="s">
        <v>12</v>
      </c>
      <c r="B5" s="7" t="n">
        <f aca="false">COUNTIF('Testing Results'!G5:G8,A5)</f>
        <v>2</v>
      </c>
    </row>
    <row r="6" customFormat="false" ht="15" hidden="false" customHeight="false" outlineLevel="0" collapsed="false">
      <c r="A6" s="6" t="s">
        <v>13</v>
      </c>
      <c r="B6" s="7" t="n">
        <f aca="false">COUNTIF('Testing Results'!G5:G8,A6)</f>
        <v>2</v>
      </c>
    </row>
    <row r="8" customFormat="false" ht="15" hidden="false" customHeight="false" outlineLevel="0" collapsed="false">
      <c r="A8" s="8" t="s">
        <v>14</v>
      </c>
      <c r="B8" s="8"/>
    </row>
  </sheetData>
  <mergeCells count="3">
    <mergeCell ref="A1:B1"/>
    <mergeCell ref="A2:B2"/>
    <mergeCell ref="A8:B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18"/>
    <col collapsed="false" customWidth="true" hidden="false" outlineLevel="0" max="4" min="4" style="0" width="16"/>
    <col collapsed="false" customWidth="true" hidden="false" outlineLevel="0" max="5" min="5" style="0" width="12"/>
    <col collapsed="false" customWidth="true" hidden="false" outlineLevel="0" max="6" min="6" style="0" width="10"/>
    <col collapsed="false" customWidth="true" hidden="false" outlineLevel="0" max="7" min="7" style="0" width="12"/>
    <col collapsed="false" customWidth="true" hidden="false" outlineLevel="0" max="8" min="8" style="0" width="34"/>
    <col collapsed="false" customWidth="true" hidden="false" outlineLevel="0" max="9" min="9" style="0" width="12"/>
  </cols>
  <sheetData>
    <row r="1" customFormat="false" ht="27.75" hidden="false" customHeight="true" outlineLevel="0" collapsed="false">
      <c r="A1" s="1" t="s">
        <v>15</v>
      </c>
      <c r="B1" s="1"/>
      <c r="C1" s="1"/>
      <c r="D1" s="1"/>
      <c r="E1" s="1"/>
      <c r="F1" s="1"/>
      <c r="G1" s="1"/>
      <c r="H1" s="1"/>
      <c r="I1" s="1"/>
    </row>
    <row r="2" customFormat="false" ht="19.5" hidden="false" customHeight="true" outlineLevel="0" collapsed="false">
      <c r="A2" s="2" t="s">
        <v>16</v>
      </c>
      <c r="B2" s="2"/>
      <c r="C2" s="2"/>
      <c r="D2" s="2"/>
      <c r="E2" s="2"/>
      <c r="F2" s="2"/>
      <c r="G2" s="2"/>
      <c r="H2" s="2"/>
      <c r="I2" s="2"/>
    </row>
    <row r="4" customFormat="false" ht="30" hidden="false" customHeight="true" outlineLevel="0" collapsed="false">
      <c r="A4" s="5" t="s">
        <v>17</v>
      </c>
      <c r="B4" s="5" t="s">
        <v>18</v>
      </c>
      <c r="C4" s="5" t="s">
        <v>19</v>
      </c>
      <c r="D4" s="5" t="s">
        <v>20</v>
      </c>
      <c r="E4" s="5" t="s">
        <v>21</v>
      </c>
      <c r="F4" s="5" t="s">
        <v>22</v>
      </c>
      <c r="G4" s="5" t="s">
        <v>23</v>
      </c>
      <c r="H4" s="5" t="s">
        <v>24</v>
      </c>
      <c r="I4" s="5" t="s">
        <v>25</v>
      </c>
    </row>
    <row r="5" customFormat="false" ht="33.75" hidden="false" customHeight="true" outlineLevel="0" collapsed="false">
      <c r="A5" s="9" t="s">
        <v>26</v>
      </c>
      <c r="B5" s="10" t="s">
        <v>27</v>
      </c>
      <c r="C5" s="6" t="s">
        <v>28</v>
      </c>
      <c r="D5" s="6" t="s">
        <v>29</v>
      </c>
      <c r="E5" s="9" t="n">
        <v>50</v>
      </c>
      <c r="F5" s="11" t="n">
        <v>0.92</v>
      </c>
      <c r="G5" s="12" t="str">
        <f aca="false">IF(F5="","",IF(F5&gt;=0.85,"Pass","Fail"))</f>
        <v>Pass</v>
      </c>
      <c r="H5" s="10" t="s">
        <v>30</v>
      </c>
      <c r="I5" s="13" t="s">
        <v>31</v>
      </c>
    </row>
    <row r="6" customFormat="false" ht="33.75" hidden="false" customHeight="true" outlineLevel="0" collapsed="false">
      <c r="A6" s="14" t="s">
        <v>32</v>
      </c>
      <c r="B6" s="15" t="s">
        <v>33</v>
      </c>
      <c r="C6" s="16" t="s">
        <v>34</v>
      </c>
      <c r="D6" s="16" t="s">
        <v>29</v>
      </c>
      <c r="E6" s="14" t="n">
        <v>40</v>
      </c>
      <c r="F6" s="17" t="n">
        <v>0.78</v>
      </c>
      <c r="G6" s="18" t="str">
        <f aca="false">IF(F6="","",IF(F6&gt;=0.85,"Pass","Fail"))</f>
        <v>Fail</v>
      </c>
      <c r="H6" s="15" t="s">
        <v>35</v>
      </c>
      <c r="I6" s="19" t="s">
        <v>36</v>
      </c>
    </row>
    <row r="7" customFormat="false" ht="33.75" hidden="false" customHeight="true" outlineLevel="0" collapsed="false">
      <c r="A7" s="9" t="s">
        <v>37</v>
      </c>
      <c r="B7" s="10" t="s">
        <v>38</v>
      </c>
      <c r="C7" s="6" t="s">
        <v>39</v>
      </c>
      <c r="D7" s="6" t="s">
        <v>40</v>
      </c>
      <c r="E7" s="9" t="n">
        <v>15</v>
      </c>
      <c r="F7" s="11" t="n">
        <v>0.87</v>
      </c>
      <c r="G7" s="12" t="str">
        <f aca="false">IF(F7="","",IF(F7&gt;=0.85,"Pass","Fail"))</f>
        <v>Pass</v>
      </c>
      <c r="H7" s="10" t="s">
        <v>41</v>
      </c>
      <c r="I7" s="13" t="s">
        <v>42</v>
      </c>
    </row>
    <row r="8" customFormat="false" ht="33.75" hidden="false" customHeight="true" outlineLevel="0" collapsed="false">
      <c r="A8" s="14" t="s">
        <v>43</v>
      </c>
      <c r="B8" s="15" t="s">
        <v>44</v>
      </c>
      <c r="C8" s="16" t="s">
        <v>34</v>
      </c>
      <c r="D8" s="16" t="s">
        <v>40</v>
      </c>
      <c r="E8" s="14" t="n">
        <v>20</v>
      </c>
      <c r="F8" s="17" t="n">
        <v>0.65</v>
      </c>
      <c r="G8" s="18" t="str">
        <f aca="false">IF(F8="","",IF(F8&gt;=0.85,"Pass","Fail"))</f>
        <v>Fail</v>
      </c>
      <c r="H8" s="15" t="s">
        <v>45</v>
      </c>
      <c r="I8" s="19" t="s">
        <v>46</v>
      </c>
    </row>
  </sheetData>
  <mergeCells count="2">
    <mergeCell ref="A1:I1"/>
    <mergeCell ref="A2:I2"/>
  </mergeCells>
  <conditionalFormatting sqref="G5:G8">
    <cfRule type="expression" priority="2" aboveAverage="0" equalAverage="0" bottom="0" percent="0" rank="0" text="" dxfId="0">
      <formula>G5="Fail"</formula>
    </cfRule>
    <cfRule type="expression" priority="3" aboveAverage="0" equalAverage="0" bottom="0" percent="0" rank="0" text="" dxfId="1">
      <formula>G5="Pass"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2026-08-06T08:01:32Z</dcterms:created>
  <dc:creator>openpyxl</dc:creator>
  <dc:description/>
  <dc:language>en-US</dc:language>
  <cp:lastModifiedBy/>
  <dcterms:modified xsi:type="dcterms:W3CDTF">2026-08-06T08:01:32Z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