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ummary Dashboard" sheetId="2" state="visible" r:id="rId4"/>
    <sheet name="Cross-Cutting Rules" sheetId="3" state="visible" r:id="rId5"/>
    <sheet name="Products &amp; Services" sheetId="4" state="visible" r:id="rId6"/>
    <sheet name="Price and Value" sheetId="5" state="visible" r:id="rId7"/>
    <sheet name="Consumer Understanding" sheetId="6" state="visible" r:id="rId8"/>
    <sheet name="Consumer Suppor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<sst xmlns="http://schemas.openxmlformats.org/spreadsheetml/2006/main" count="148" uniqueCount="112">
  <si>
    <t xml:space="preserve">CD-F1 · Current State Maturity Assessment Questionnaire</t>
  </si>
  <si>
    <t xml:space="preserve">Consumer Duty Implementation — Foundation Phase</t>
  </si>
  <si>
    <t xml:space="preserve">Purpose</t>
  </si>
  <si>
    <t xml:space="preserve">This questionnaire evaluates the firm's current maturity against the FCA Consumer Duty (PRIN 2A) across the Cross-Cutting Rules and the four Outcomes. It forms the baseline for the Gap Analysis Framework (CD-F1) and the wider Implementation Roadmap (CD-P3).</t>
  </si>
  <si>
    <t xml:space="preserve">How to use this workbook</t>
  </si>
  <si>
    <t xml:space="preserve">1. Work through each outcome tab in turn. For every question, select a Maturity Score (1–5) from the drop-down in column D.
2. Record supporting evidence or rationale in column E — assessors should be able to justify every score.
3. The RAG Rating (column F) calculates automatically from the score.
4. Enter the Owner and Date Assessed in columns G and H.
5. Review the Summary Dashboard tab for an aggregated maturity picture and outcome-level RAG status.</t>
  </si>
  <si>
    <t xml:space="preserve">Maturity scale</t>
  </si>
  <si>
    <t xml:space="preserve">Score</t>
  </si>
  <si>
    <t xml:space="preserve">Definition</t>
  </si>
  <si>
    <t xml:space="preserve">Absent / Ad hoc — No formal approach exists; activity, if any, is reactive and undocumented.</t>
  </si>
  <si>
    <t xml:space="preserve">Developing — Basic approach exists but is inconsistent, undocumented, or not embedded across the firm.</t>
  </si>
  <si>
    <t xml:space="preserve">Defined — A documented, approved approach exists and is applied in most areas, with some gaps in consistency.</t>
  </si>
  <si>
    <t xml:space="preserve">Managed — Approach is embedded, consistently applied, monitored, and supported by MI.</t>
  </si>
  <si>
    <t xml:space="preserve">Optimised — Approach is embedded, proactively reviewed, benchmarked, and continuously improved with strong evidence trail.</t>
  </si>
  <si>
    <t xml:space="preserve">RAG thresholds: Red = average score below 2.5  |  Amber = 2.5–3.9  |  Green = 4.0 and above</t>
  </si>
  <si>
    <t xml:space="preserve">CD-F1 · Maturity Assessment Summary Dashboard</t>
  </si>
  <si>
    <t xml:space="preserve">Aggregated view — auto-calculates from the five assessment tabs</t>
  </si>
  <si>
    <t xml:space="preserve">Outcome / Cross-Cutting Area</t>
  </si>
  <si>
    <t xml:space="preserve">Average Score</t>
  </si>
  <si>
    <t xml:space="preserve">RAG Status</t>
  </si>
  <si>
    <t xml:space="preserve">Commentary</t>
  </si>
  <si>
    <t xml:space="preserve">Cross-Cutting Rules</t>
  </si>
  <si>
    <t xml:space="preserve">Products &amp; Services</t>
  </si>
  <si>
    <t xml:space="preserve">Price and Value</t>
  </si>
  <si>
    <t xml:space="preserve">Consumer Understanding</t>
  </si>
  <si>
    <t xml:space="preserve">Consumer Support</t>
  </si>
  <si>
    <t xml:space="preserve">Overall Firm Maturity</t>
  </si>
  <si>
    <t xml:space="preserve">Next step: transfer any Red/Amber areas into the Gap Analysis Framework (CD-F1) for root-cause analysis and remediation planning.</t>
  </si>
  <si>
    <t xml:space="preserve">CD-F1 · Maturity Assessment — Cross-Cutting Rules</t>
  </si>
  <si>
    <t xml:space="preserve">Score each statement 1 (Absent) to 5 (Optimised) using the drop-down provided</t>
  </si>
  <si>
    <t xml:space="preserve">Ref</t>
  </si>
  <si>
    <t xml:space="preserve">Assessment Question</t>
  </si>
  <si>
    <t xml:space="preserve">Maturity
Score (1-5)</t>
  </si>
  <si>
    <t xml:space="preserve">Evidence / Rationale</t>
  </si>
  <si>
    <t xml:space="preserve">RAG</t>
  </si>
  <si>
    <t xml:space="preserve">Owner</t>
  </si>
  <si>
    <t xml:space="preserve">Date
Assessed</t>
  </si>
  <si>
    <t xml:space="preserve">CR-01</t>
  </si>
  <si>
    <t xml:space="preserve">The firm has a documented policy requiring all staff to act in good faith towards retail customers.</t>
  </si>
  <si>
    <t xml:space="preserve">CR-02</t>
  </si>
  <si>
    <t xml:space="preserve">Processes exist to identify and prevent foreseeable harm across the product/service lifecycle.</t>
  </si>
  <si>
    <t xml:space="preserve">CR-03</t>
  </si>
  <si>
    <t xml:space="preserve">The firm actively supports customers in pursuing their financial objectives (not just avoiding harm).</t>
  </si>
  <si>
    <t xml:space="preserve">CR-04</t>
  </si>
  <si>
    <t xml:space="preserve">Cross-cutting rule requirements are embedded in policies, procedures, and training material.</t>
  </si>
  <si>
    <t xml:space="preserve">CR-05</t>
  </si>
  <si>
    <t xml:space="preserve">Management information captures evidence of good faith, harm avoidance, and customer support in practice.</t>
  </si>
  <si>
    <t xml:space="preserve">CR-06</t>
  </si>
  <si>
    <t xml:space="preserve">Root cause analysis on complaints/incidents explicitly considers cross-cutting rule breaches.</t>
  </si>
  <si>
    <t xml:space="preserve">CR-07</t>
  </si>
  <si>
    <t xml:space="preserve">The Board/Governing Body receives regular assurance on cross-cutting rule compliance.</t>
  </si>
  <si>
    <t xml:space="preserve">Average Maturity Score</t>
  </si>
  <si>
    <t xml:space="preserve">CD-F1 · Maturity Assessment — Products &amp; Services</t>
  </si>
  <si>
    <t xml:space="preserve">P&amp;S-01</t>
  </si>
  <si>
    <t xml:space="preserve">Target markets are defined at a sufficiently granular level for every product/service.</t>
  </si>
  <si>
    <t xml:space="preserve">P&amp;S-02</t>
  </si>
  <si>
    <t xml:space="preserve">Product approval processes formally assess Consumer Duty outcomes before launch.</t>
  </si>
  <si>
    <t xml:space="preserve">P&amp;S-03</t>
  </si>
  <si>
    <t xml:space="preserve">Distribution strategies are reviewed to ensure products reach the intended target market.</t>
  </si>
  <si>
    <t xml:space="preserve">P&amp;S-04</t>
  </si>
  <si>
    <t xml:space="preserve">Products are tested against foreseeable customer needs, including those of vulnerable customers.</t>
  </si>
  <si>
    <t xml:space="preserve">P&amp;S-05</t>
  </si>
  <si>
    <t xml:space="preserve">A negative target market is defined and monitored for each relevant product.</t>
  </si>
  <si>
    <t xml:space="preserve">P&amp;S-06</t>
  </si>
  <si>
    <t xml:space="preserve">Closed/legacy products are reviewed against current Consumer Duty standards.</t>
  </si>
  <si>
    <t xml:space="preserve">P&amp;S-07</t>
  </si>
  <si>
    <t xml:space="preserve">Product performance data is used to identify products no longer meeting customer needs.</t>
  </si>
  <si>
    <t xml:space="preserve">CD-F1 · Maturity Assessment — Price and Value</t>
  </si>
  <si>
    <t xml:space="preserve">PAV-01</t>
  </si>
  <si>
    <t xml:space="preserve">A Fair Value Assessment (FVA) framework is documented and consistently applied.</t>
  </si>
  <si>
    <t xml:space="preserve">PAV-02</t>
  </si>
  <si>
    <t xml:space="preserve">Price benchmarking is performed against comparable products/services in the market.</t>
  </si>
  <si>
    <t xml:space="preserve">PAV-03</t>
  </si>
  <si>
    <t xml:space="preserve">Value for money assessments consider both monetary and non-monetary benefits.</t>
  </si>
  <si>
    <t xml:space="preserve">PAV-04</t>
  </si>
  <si>
    <t xml:space="preserve">Differential pricing/outcomes across customer groups are identified and justified.</t>
  </si>
  <si>
    <t xml:space="preserve">PAV-05</t>
  </si>
  <si>
    <t xml:space="preserve">Fair Value Assessments are refreshed on a defined, risk-based schedule.</t>
  </si>
  <si>
    <t xml:space="preserve">PAV-06</t>
  </si>
  <si>
    <t xml:space="preserve">Governance exists to challenge and approve Fair Value Assessment outcomes.</t>
  </si>
  <si>
    <t xml:space="preserve">PAV-07</t>
  </si>
  <si>
    <t xml:space="preserve">Remediation action is taken promptly where products are found not to offer fair value.</t>
  </si>
  <si>
    <t xml:space="preserve">CD-F1 · Maturity Assessment — Consumer Understanding</t>
  </si>
  <si>
    <t xml:space="preserve">CU-01</t>
  </si>
  <si>
    <t xml:space="preserve">Customer communications are tested for clarity, comprehension, and tone prior to launch.</t>
  </si>
  <si>
    <t xml:space="preserve">CU-02</t>
  </si>
  <si>
    <t xml:space="preserve">A plain language standard/checklist is applied consistently across communications.</t>
  </si>
  <si>
    <t xml:space="preserve">CU-03</t>
  </si>
  <si>
    <t xml:space="preserve">Readability testing is performed on key customer documents.</t>
  </si>
  <si>
    <t xml:space="preserve">CU-04</t>
  </si>
  <si>
    <t xml:space="preserve">Behavioural insights/testing inform the design of customer communications.</t>
  </si>
  <si>
    <t xml:space="preserve">CU-05</t>
  </si>
  <si>
    <t xml:space="preserve">Customer journeys are mapped to identify points of potential misunderstanding.</t>
  </si>
  <si>
    <t xml:space="preserve">CU-06</t>
  </si>
  <si>
    <t xml:space="preserve">Marketing material is reviewed for consistency with Consumer Duty communication standards.</t>
  </si>
  <si>
    <t xml:space="preserve">CU-07</t>
  </si>
  <si>
    <t xml:space="preserve">Customer comprehension is measured directly (e.g., surveys, testing) rather than assumed.</t>
  </si>
  <si>
    <t xml:space="preserve">CD-F1 · Maturity Assessment — Consumer Support</t>
  </si>
  <si>
    <t xml:space="preserve">CS-01</t>
  </si>
  <si>
    <t xml:space="preserve">Customer support standards are defined and consistently monitored.</t>
  </si>
  <si>
    <t xml:space="preserve">CS-02</t>
  </si>
  <si>
    <t xml:space="preserve">The firm actively identifies and removes barriers to customers pursuing their financial interests (no sludge practices).</t>
  </si>
  <si>
    <t xml:space="preserve">CS-03</t>
  </si>
  <si>
    <t xml:space="preserve">Complaints are analysed for root cause and thematic trends relevant to Consumer Duty.</t>
  </si>
  <si>
    <t xml:space="preserve">CS-04</t>
  </si>
  <si>
    <t xml:space="preserve">Support channels are assessed for accessibility and appropriateness across the customer base.</t>
  </si>
  <si>
    <t xml:space="preserve">CS-05</t>
  </si>
  <si>
    <t xml:space="preserve">Customer satisfaction with support is measured and acted upon.</t>
  </si>
  <si>
    <t xml:space="preserve">CS-06</t>
  </si>
  <si>
    <t xml:space="preserve">Processes exist for customers to exit products/services as easily as they entered them.</t>
  </si>
  <si>
    <t xml:space="preserve">CS-07</t>
  </si>
  <si>
    <t xml:space="preserve">Support performance for vulnerable customers is specifically monitored.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</si>
</sst>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dd/mm/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595959"/>
      </patternFill>
    </fill>
    <fill>
      <patternFill patternType="solid">
        <fgColor rgb="FFDCE6F1"/>
        <bgColor rgb="FFF2F2F2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63BE7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DCE6F1"/>
      <rgbColor rgb="FF660066"/>
      <rgbColor rgb="FFF869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84"/>
      <rgbColor rgb="FF99CCFF"/>
      <rgbColor rgb="FFFF99CC"/>
      <rgbColor rgb="FFCC99FF"/>
      <rgbColor rgb="FFFFCC99"/>
      <rgbColor rgb="FF3366FF"/>
      <rgbColor rgb="FF63BE7B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1" customFormat="false" ht="27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5" customFormat="false" ht="15" hidden="false" customHeight="false" outlineLevel="0" collapsed="false">
      <c r="A5" s="3" t="s">
        <v>2</v>
      </c>
      <c r="B5" s="3"/>
    </row>
    <row r="6" customFormat="false" ht="45" hidden="false" customHeight="true" outlineLevel="0" collapsed="false">
      <c r="A6" s="4" t="s">
        <v>3</v>
      </c>
      <c r="B6" s="4"/>
    </row>
    <row r="8" customFormat="false" ht="15" hidden="false" customHeight="false" outlineLevel="0" collapsed="false">
      <c r="A8" s="3" t="s">
        <v>4</v>
      </c>
      <c r="B8" s="3"/>
    </row>
    <row r="9" customFormat="false" ht="135" hidden="false" customHeight="true" outlineLevel="0" collapsed="false">
      <c r="A9" s="4" t="s">
        <v>5</v>
      </c>
      <c r="B9" s="4"/>
    </row>
    <row r="11" customFormat="false" ht="15" hidden="false" customHeight="false" outlineLevel="0" collapsed="false">
      <c r="A11" s="3" t="s">
        <v>6</v>
      </c>
      <c r="B11" s="3"/>
    </row>
    <row r="12" customFormat="false" ht="18" hidden="false" customHeight="true" outlineLevel="0" collapsed="false">
      <c r="A12" s="4"/>
      <c r="B12" s="4"/>
    </row>
    <row r="14" customFormat="false" ht="15" hidden="false" customHeight="false" outlineLevel="0" collapsed="false">
      <c r="A14" s="5"/>
      <c r="B14" s="5"/>
    </row>
    <row r="15" customFormat="false" ht="15" hidden="false" customHeight="false" outlineLevel="0" collapsed="false">
      <c r="A15" s="6" t="s">
        <v>7</v>
      </c>
      <c r="B15" s="6" t="s">
        <v>8</v>
      </c>
    </row>
    <row r="16" customFormat="false" ht="30" hidden="false" customHeight="true" outlineLevel="0" collapsed="false">
      <c r="A16" s="7" t="n">
        <v>1</v>
      </c>
      <c r="B16" s="8" t="s">
        <v>9</v>
      </c>
    </row>
    <row r="17" customFormat="false" ht="30" hidden="false" customHeight="true" outlineLevel="0" collapsed="false">
      <c r="A17" s="7" t="n">
        <v>2</v>
      </c>
      <c r="B17" s="8" t="s">
        <v>10</v>
      </c>
    </row>
    <row r="18" customFormat="false" ht="30" hidden="false" customHeight="true" outlineLevel="0" collapsed="false">
      <c r="A18" s="7" t="n">
        <v>3</v>
      </c>
      <c r="B18" s="8" t="s">
        <v>11</v>
      </c>
    </row>
    <row r="19" customFormat="false" ht="30" hidden="false" customHeight="true" outlineLevel="0" collapsed="false">
      <c r="A19" s="7" t="n">
        <v>4</v>
      </c>
      <c r="B19" s="8" t="s">
        <v>12</v>
      </c>
    </row>
    <row r="20" customFormat="false" ht="30" hidden="false" customHeight="true" outlineLevel="0" collapsed="false">
      <c r="A20" s="7" t="n">
        <v>5</v>
      </c>
      <c r="B20" s="8" t="s">
        <v>13</v>
      </c>
    </row>
    <row r="22" customFormat="false" ht="15" hidden="false" customHeight="false" outlineLevel="0" collapsed="false">
      <c r="A22" s="9" t="s">
        <v>14</v>
      </c>
      <c r="B22" s="9"/>
    </row>
  </sheetData>
  <mergeCells count="10">
    <mergeCell ref="A1:B1"/>
    <mergeCell ref="A2:B2"/>
    <mergeCell ref="A5:B5"/>
    <mergeCell ref="A6:B6"/>
    <mergeCell ref="A8:B8"/>
    <mergeCell ref="A9:B9"/>
    <mergeCell ref="A11:B11"/>
    <mergeCell ref="A12:B12"/>
    <mergeCell ref="A14:B14"/>
    <mergeCell ref="A22:B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45"/>
  </cols>
  <sheetData>
    <row r="1" customFormat="false" ht="27.75" hidden="false" customHeight="true" outlineLevel="0" collapsed="false">
      <c r="A1" s="1" t="s">
        <v>15</v>
      </c>
      <c r="B1" s="1"/>
      <c r="C1" s="1"/>
      <c r="D1" s="1"/>
    </row>
    <row r="2" customFormat="false" ht="19.5" hidden="false" customHeight="true" outlineLevel="0" collapsed="false">
      <c r="A2" s="2" t="s">
        <v>16</v>
      </c>
      <c r="B2" s="2"/>
      <c r="C2" s="2"/>
      <c r="D2" s="2"/>
    </row>
    <row r="4" customFormat="false" ht="21.75" hidden="false" customHeight="true" outlineLevel="0" collapsed="false">
      <c r="A4" s="10" t="s">
        <v>17</v>
      </c>
      <c r="B4" s="10" t="s">
        <v>18</v>
      </c>
      <c r="C4" s="10" t="s">
        <v>19</v>
      </c>
      <c r="D4" s="10" t="s">
        <v>20</v>
      </c>
    </row>
    <row r="5" customFormat="false" ht="15" hidden="false" customHeight="false" outlineLevel="0" collapsed="false">
      <c r="A5" s="11" t="s">
        <v>21</v>
      </c>
      <c r="B5" s="12" t="str">
        <f aca="false">IFERROR(AVERAGE('Cross-Cutting Rules'!D5:D11),"")</f>
        <v/>
      </c>
      <c r="C5" s="13" t="str">
        <f aca="false">IF(B5="","",IF(B5&lt;2.5,"Red",IF(B5&lt;4,"Amber","Green")))</f>
        <v/>
      </c>
      <c r="D5" s="14"/>
    </row>
    <row r="6" customFormat="false" ht="15" hidden="false" customHeight="false" outlineLevel="0" collapsed="false">
      <c r="A6" s="11" t="s">
        <v>22</v>
      </c>
      <c r="B6" s="12" t="str">
        <f aca="false">IFERROR(AVERAGE('Products &amp; Services'!D5:D11),"")</f>
        <v/>
      </c>
      <c r="C6" s="13" t="str">
        <f aca="false">IF(B6="","",IF(B6&lt;2.5,"Red",IF(B6&lt;4,"Amber","Green")))</f>
        <v/>
      </c>
      <c r="D6" s="14"/>
    </row>
    <row r="7" customFormat="false" ht="15" hidden="false" customHeight="false" outlineLevel="0" collapsed="false">
      <c r="A7" s="11" t="s">
        <v>23</v>
      </c>
      <c r="B7" s="12" t="str">
        <f aca="false">IFERROR(AVERAGE('Price and Value'!D5:D11),"")</f>
        <v/>
      </c>
      <c r="C7" s="13" t="str">
        <f aca="false">IF(B7="","",IF(B7&lt;2.5,"Red",IF(B7&lt;4,"Amber","Green")))</f>
        <v/>
      </c>
      <c r="D7" s="14"/>
    </row>
    <row r="8" customFormat="false" ht="15" hidden="false" customHeight="false" outlineLevel="0" collapsed="false">
      <c r="A8" s="11" t="s">
        <v>24</v>
      </c>
      <c r="B8" s="12" t="str">
        <f aca="false">IFERROR(AVERAGE('Consumer Understanding'!D5:D11),"")</f>
        <v/>
      </c>
      <c r="C8" s="13" t="str">
        <f aca="false">IF(B8="","",IF(B8&lt;2.5,"Red",IF(B8&lt;4,"Amber","Green")))</f>
        <v/>
      </c>
      <c r="D8" s="14"/>
    </row>
    <row r="9" customFormat="false" ht="15" hidden="false" customHeight="false" outlineLevel="0" collapsed="false">
      <c r="A9" s="11" t="s">
        <v>25</v>
      </c>
      <c r="B9" s="12" t="str">
        <f aca="false">IFERROR(AVERAGE('Consumer Support'!D5:D11),"")</f>
        <v/>
      </c>
      <c r="C9" s="13" t="str">
        <f aca="false">IF(B9="","",IF(B9&lt;2.5,"Red",IF(B9&lt;4,"Amber","Green")))</f>
        <v/>
      </c>
      <c r="D9" s="14"/>
    </row>
    <row r="11" customFormat="false" ht="15" hidden="false" customHeight="false" outlineLevel="0" collapsed="false">
      <c r="A11" s="15" t="s">
        <v>26</v>
      </c>
      <c r="B11" s="16" t="str">
        <f aca="false">IFERROR(AVERAGE(B5:B9),"")</f>
        <v/>
      </c>
      <c r="C11" s="17" t="str">
        <f aca="false">IF(B11="","",IF(B11&lt;2.5,"Red",IF(B11&lt;4,"Amber","Green")))</f>
        <v/>
      </c>
    </row>
    <row r="13" customFormat="false" ht="15" hidden="false" customHeight="false" outlineLevel="0" collapsed="false">
      <c r="A13" s="9" t="s">
        <v>27</v>
      </c>
      <c r="B13" s="9"/>
      <c r="C13" s="9"/>
      <c r="D13" s="9"/>
    </row>
  </sheetData>
  <mergeCells count="3">
    <mergeCell ref="A1:D1"/>
    <mergeCell ref="A2:D2"/>
    <mergeCell ref="A13:D13"/>
  </mergeCells>
  <conditionalFormatting sqref="C5:C9">
    <cfRule type="expression" priority="2" aboveAverage="0" equalAverage="0" bottom="0" percent="0" rank="0" text="" dxfId="0">
      <formula>C5="Red"</formula>
    </cfRule>
    <cfRule type="expression" priority="3" aboveAverage="0" equalAverage="0" bottom="0" percent="0" rank="0" text="" dxfId="1">
      <formula>C5="Amber"</formula>
    </cfRule>
    <cfRule type="expression" priority="4" aboveAverage="0" equalAverage="0" bottom="0" percent="0" rank="0" text="" dxfId="2">
      <formula>C5="Green"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2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27.75" hidden="false" customHeight="true" outlineLevel="0" collapsed="false">
      <c r="A1" s="1" t="s">
        <v>28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29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10" t="s">
        <v>30</v>
      </c>
      <c r="B4" s="10" t="s">
        <v>31</v>
      </c>
      <c r="C4" s="10"/>
      <c r="D4" s="10" t="s">
        <v>32</v>
      </c>
      <c r="E4" s="10" t="s">
        <v>33</v>
      </c>
      <c r="F4" s="10" t="s">
        <v>34</v>
      </c>
      <c r="G4" s="10" t="s">
        <v>35</v>
      </c>
      <c r="H4" s="10" t="s">
        <v>36</v>
      </c>
    </row>
    <row r="5" customFormat="false" ht="31.5" hidden="false" customHeight="true" outlineLevel="0" collapsed="false">
      <c r="A5" s="7" t="s">
        <v>37</v>
      </c>
      <c r="B5" s="8" t="s">
        <v>38</v>
      </c>
      <c r="C5" s="18"/>
      <c r="D5" s="19"/>
      <c r="E5" s="8"/>
      <c r="F5" s="20" t="str">
        <f aca="false">IF(D5="","",IF(D5&lt;2.5,"Red",IF(D5&lt;4,"Amber","Green")))</f>
        <v/>
      </c>
      <c r="G5" s="11"/>
      <c r="H5" s="21"/>
    </row>
    <row r="6" customFormat="false" ht="31.5" hidden="false" customHeight="true" outlineLevel="0" collapsed="false">
      <c r="A6" s="22" t="s">
        <v>39</v>
      </c>
      <c r="B6" s="23" t="s">
        <v>40</v>
      </c>
      <c r="C6" s="24"/>
      <c r="D6" s="25"/>
      <c r="E6" s="23"/>
      <c r="F6" s="26" t="str">
        <f aca="false">IF(D6="","",IF(D6&lt;2.5,"Red",IF(D6&lt;4,"Amber","Green")))</f>
        <v/>
      </c>
      <c r="G6" s="27"/>
      <c r="H6" s="28"/>
    </row>
    <row r="7" customFormat="false" ht="31.5" hidden="false" customHeight="true" outlineLevel="0" collapsed="false">
      <c r="A7" s="7" t="s">
        <v>41</v>
      </c>
      <c r="B7" s="8" t="s">
        <v>42</v>
      </c>
      <c r="C7" s="18"/>
      <c r="D7" s="19"/>
      <c r="E7" s="8"/>
      <c r="F7" s="20" t="str">
        <f aca="false">IF(D7="","",IF(D7&lt;2.5,"Red",IF(D7&lt;4,"Amber","Green")))</f>
        <v/>
      </c>
      <c r="G7" s="11"/>
      <c r="H7" s="21"/>
    </row>
    <row r="8" customFormat="false" ht="31.5" hidden="false" customHeight="true" outlineLevel="0" collapsed="false">
      <c r="A8" s="22" t="s">
        <v>43</v>
      </c>
      <c r="B8" s="23" t="s">
        <v>44</v>
      </c>
      <c r="C8" s="24"/>
      <c r="D8" s="25"/>
      <c r="E8" s="23"/>
      <c r="F8" s="26" t="str">
        <f aca="false">IF(D8="","",IF(D8&lt;2.5,"Red",IF(D8&lt;4,"Amber","Green")))</f>
        <v/>
      </c>
      <c r="G8" s="27"/>
      <c r="H8" s="28"/>
    </row>
    <row r="9" customFormat="false" ht="31.5" hidden="false" customHeight="true" outlineLevel="0" collapsed="false">
      <c r="A9" s="7" t="s">
        <v>45</v>
      </c>
      <c r="B9" s="8" t="s">
        <v>46</v>
      </c>
      <c r="C9" s="18"/>
      <c r="D9" s="19"/>
      <c r="E9" s="8"/>
      <c r="F9" s="20" t="str">
        <f aca="false">IF(D9="","",IF(D9&lt;2.5,"Red",IF(D9&lt;4,"Amber","Green")))</f>
        <v/>
      </c>
      <c r="G9" s="11"/>
      <c r="H9" s="21"/>
    </row>
    <row r="10" customFormat="false" ht="31.5" hidden="false" customHeight="true" outlineLevel="0" collapsed="false">
      <c r="A10" s="22" t="s">
        <v>47</v>
      </c>
      <c r="B10" s="23" t="s">
        <v>48</v>
      </c>
      <c r="C10" s="24"/>
      <c r="D10" s="25"/>
      <c r="E10" s="23"/>
      <c r="F10" s="26" t="str">
        <f aca="false">IF(D10="","",IF(D10&lt;2.5,"Red",IF(D10&lt;4,"Amber","Green")))</f>
        <v/>
      </c>
      <c r="G10" s="27"/>
      <c r="H10" s="28"/>
    </row>
    <row r="11" customFormat="false" ht="31.5" hidden="false" customHeight="true" outlineLevel="0" collapsed="false">
      <c r="A11" s="7" t="s">
        <v>49</v>
      </c>
      <c r="B11" s="8" t="s">
        <v>50</v>
      </c>
      <c r="C11" s="18"/>
      <c r="D11" s="19"/>
      <c r="E11" s="8"/>
      <c r="F11" s="20" t="str">
        <f aca="false">IF(D11="","",IF(D11&lt;2.5,"Red",IF(D11&lt;4,"Amber","Green")))</f>
        <v/>
      </c>
      <c r="G11" s="11"/>
      <c r="H11" s="21"/>
    </row>
    <row r="13" customFormat="false" ht="15" hidden="false" customHeight="false" outlineLevel="0" collapsed="false">
      <c r="A13" s="29" t="s">
        <v>51</v>
      </c>
      <c r="B13" s="29"/>
      <c r="C13" s="29"/>
      <c r="D13" s="16" t="str">
        <f aca="false">IFERROR(AVERAGE(D5:D11),"")</f>
        <v/>
      </c>
      <c r="F13" s="17" t="str">
        <f aca="false">IF(D13="","",IF(D13&lt;2.5,"Red",IF(D13&lt;4,"Amber","Green")))</f>
        <v/>
      </c>
    </row>
  </sheetData>
  <mergeCells count="3">
    <mergeCell ref="A1:H1"/>
    <mergeCell ref="A2:H2"/>
    <mergeCell ref="A13:C13"/>
  </mergeCells>
  <conditionalFormatting sqref="F5:F11">
    <cfRule type="expression" priority="2" aboveAverage="0" equalAverage="0" bottom="0" percent="0" rank="0" text="" dxfId="0">
      <formula>F5="Red"</formula>
    </cfRule>
    <cfRule type="expression" priority="3" aboveAverage="0" equalAverage="0" bottom="0" percent="0" rank="0" text="" dxfId="1">
      <formula>F5="Amber"</formula>
    </cfRule>
    <cfRule type="expression" priority="4" aboveAverage="0" equalAverage="0" bottom="0" percent="0" rank="0" text="" dxfId="2">
      <formula>F5="Green"</formula>
    </cfRule>
  </conditionalFormatting>
  <dataValidations count="1">
    <dataValidation allowBlank="true" errorStyle="stop" operator="between" showDropDown="false" showErrorMessage="false" showInputMessage="false" sqref="D5:D11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2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27.75" hidden="false" customHeight="true" outlineLevel="0" collapsed="false">
      <c r="A1" s="1" t="s">
        <v>52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29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10" t="s">
        <v>30</v>
      </c>
      <c r="B4" s="10" t="s">
        <v>31</v>
      </c>
      <c r="C4" s="10"/>
      <c r="D4" s="10" t="s">
        <v>32</v>
      </c>
      <c r="E4" s="10" t="s">
        <v>33</v>
      </c>
      <c r="F4" s="10" t="s">
        <v>34</v>
      </c>
      <c r="G4" s="10" t="s">
        <v>35</v>
      </c>
      <c r="H4" s="10" t="s">
        <v>36</v>
      </c>
    </row>
    <row r="5" customFormat="false" ht="31.5" hidden="false" customHeight="true" outlineLevel="0" collapsed="false">
      <c r="A5" s="7" t="s">
        <v>53</v>
      </c>
      <c r="B5" s="8" t="s">
        <v>54</v>
      </c>
      <c r="C5" s="18"/>
      <c r="D5" s="19"/>
      <c r="E5" s="8"/>
      <c r="F5" s="20" t="str">
        <f aca="false">IF(D5="","",IF(D5&lt;2.5,"Red",IF(D5&lt;4,"Amber","Green")))</f>
        <v/>
      </c>
      <c r="G5" s="11"/>
      <c r="H5" s="21"/>
    </row>
    <row r="6" customFormat="false" ht="31.5" hidden="false" customHeight="true" outlineLevel="0" collapsed="false">
      <c r="A6" s="22" t="s">
        <v>55</v>
      </c>
      <c r="B6" s="23" t="s">
        <v>56</v>
      </c>
      <c r="C6" s="24"/>
      <c r="D6" s="25"/>
      <c r="E6" s="23"/>
      <c r="F6" s="26" t="str">
        <f aca="false">IF(D6="","",IF(D6&lt;2.5,"Red",IF(D6&lt;4,"Amber","Green")))</f>
        <v/>
      </c>
      <c r="G6" s="27"/>
      <c r="H6" s="28"/>
    </row>
    <row r="7" customFormat="false" ht="31.5" hidden="false" customHeight="true" outlineLevel="0" collapsed="false">
      <c r="A7" s="7" t="s">
        <v>57</v>
      </c>
      <c r="B7" s="8" t="s">
        <v>58</v>
      </c>
      <c r="C7" s="18"/>
      <c r="D7" s="19"/>
      <c r="E7" s="8"/>
      <c r="F7" s="20" t="str">
        <f aca="false">IF(D7="","",IF(D7&lt;2.5,"Red",IF(D7&lt;4,"Amber","Green")))</f>
        <v/>
      </c>
      <c r="G7" s="11"/>
      <c r="H7" s="21"/>
    </row>
    <row r="8" customFormat="false" ht="31.5" hidden="false" customHeight="true" outlineLevel="0" collapsed="false">
      <c r="A8" s="22" t="s">
        <v>59</v>
      </c>
      <c r="B8" s="23" t="s">
        <v>60</v>
      </c>
      <c r="C8" s="24"/>
      <c r="D8" s="25"/>
      <c r="E8" s="23"/>
      <c r="F8" s="26" t="str">
        <f aca="false">IF(D8="","",IF(D8&lt;2.5,"Red",IF(D8&lt;4,"Amber","Green")))</f>
        <v/>
      </c>
      <c r="G8" s="27"/>
      <c r="H8" s="28"/>
    </row>
    <row r="9" customFormat="false" ht="31.5" hidden="false" customHeight="true" outlineLevel="0" collapsed="false">
      <c r="A9" s="7" t="s">
        <v>61</v>
      </c>
      <c r="B9" s="8" t="s">
        <v>62</v>
      </c>
      <c r="C9" s="18"/>
      <c r="D9" s="19"/>
      <c r="E9" s="8"/>
      <c r="F9" s="20" t="str">
        <f aca="false">IF(D9="","",IF(D9&lt;2.5,"Red",IF(D9&lt;4,"Amber","Green")))</f>
        <v/>
      </c>
      <c r="G9" s="11"/>
      <c r="H9" s="21"/>
    </row>
    <row r="10" customFormat="false" ht="31.5" hidden="false" customHeight="true" outlineLevel="0" collapsed="false">
      <c r="A10" s="22" t="s">
        <v>63</v>
      </c>
      <c r="B10" s="23" t="s">
        <v>64</v>
      </c>
      <c r="C10" s="24"/>
      <c r="D10" s="25"/>
      <c r="E10" s="23"/>
      <c r="F10" s="26" t="str">
        <f aca="false">IF(D10="","",IF(D10&lt;2.5,"Red",IF(D10&lt;4,"Amber","Green")))</f>
        <v/>
      </c>
      <c r="G10" s="27"/>
      <c r="H10" s="28"/>
    </row>
    <row r="11" customFormat="false" ht="31.5" hidden="false" customHeight="true" outlineLevel="0" collapsed="false">
      <c r="A11" s="7" t="s">
        <v>65</v>
      </c>
      <c r="B11" s="8" t="s">
        <v>66</v>
      </c>
      <c r="C11" s="18"/>
      <c r="D11" s="19"/>
      <c r="E11" s="8"/>
      <c r="F11" s="20" t="str">
        <f aca="false">IF(D11="","",IF(D11&lt;2.5,"Red",IF(D11&lt;4,"Amber","Green")))</f>
        <v/>
      </c>
      <c r="G11" s="11"/>
      <c r="H11" s="21"/>
    </row>
    <row r="13" customFormat="false" ht="15" hidden="false" customHeight="false" outlineLevel="0" collapsed="false">
      <c r="A13" s="29" t="s">
        <v>51</v>
      </c>
      <c r="B13" s="29"/>
      <c r="C13" s="29"/>
      <c r="D13" s="16" t="str">
        <f aca="false">IFERROR(AVERAGE(D5:D11),"")</f>
        <v/>
      </c>
      <c r="F13" s="17" t="str">
        <f aca="false">IF(D13="","",IF(D13&lt;2.5,"Red",IF(D13&lt;4,"Amber","Green")))</f>
        <v/>
      </c>
    </row>
  </sheetData>
  <mergeCells count="3">
    <mergeCell ref="A1:H1"/>
    <mergeCell ref="A2:H2"/>
    <mergeCell ref="A13:C13"/>
  </mergeCells>
  <conditionalFormatting sqref="F5:F11">
    <cfRule type="expression" priority="2" aboveAverage="0" equalAverage="0" bottom="0" percent="0" rank="0" text="" dxfId="0">
      <formula>F5="Red"</formula>
    </cfRule>
    <cfRule type="expression" priority="3" aboveAverage="0" equalAverage="0" bottom="0" percent="0" rank="0" text="" dxfId="1">
      <formula>F5="Amber"</formula>
    </cfRule>
    <cfRule type="expression" priority="4" aboveAverage="0" equalAverage="0" bottom="0" percent="0" rank="0" text="" dxfId="2">
      <formula>F5="Green"</formula>
    </cfRule>
  </conditionalFormatting>
  <dataValidations count="1">
    <dataValidation allowBlank="true" errorStyle="stop" operator="between" showDropDown="false" showErrorMessage="false" showInputMessage="false" sqref="D5:D11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2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27.75" hidden="false" customHeight="true" outlineLevel="0" collapsed="false">
      <c r="A1" s="1" t="s">
        <v>67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29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10" t="s">
        <v>30</v>
      </c>
      <c r="B4" s="10" t="s">
        <v>31</v>
      </c>
      <c r="C4" s="10"/>
      <c r="D4" s="10" t="s">
        <v>32</v>
      </c>
      <c r="E4" s="10" t="s">
        <v>33</v>
      </c>
      <c r="F4" s="10" t="s">
        <v>34</v>
      </c>
      <c r="G4" s="10" t="s">
        <v>35</v>
      </c>
      <c r="H4" s="10" t="s">
        <v>36</v>
      </c>
    </row>
    <row r="5" customFormat="false" ht="31.5" hidden="false" customHeight="true" outlineLevel="0" collapsed="false">
      <c r="A5" s="7" t="s">
        <v>68</v>
      </c>
      <c r="B5" s="8" t="s">
        <v>69</v>
      </c>
      <c r="C5" s="18"/>
      <c r="D5" s="19"/>
      <c r="E5" s="8"/>
      <c r="F5" s="20" t="str">
        <f aca="false">IF(D5="","",IF(D5&lt;2.5,"Red",IF(D5&lt;4,"Amber","Green")))</f>
        <v/>
      </c>
      <c r="G5" s="11"/>
      <c r="H5" s="21"/>
    </row>
    <row r="6" customFormat="false" ht="31.5" hidden="false" customHeight="true" outlineLevel="0" collapsed="false">
      <c r="A6" s="22" t="s">
        <v>70</v>
      </c>
      <c r="B6" s="23" t="s">
        <v>71</v>
      </c>
      <c r="C6" s="24"/>
      <c r="D6" s="25"/>
      <c r="E6" s="23"/>
      <c r="F6" s="26" t="str">
        <f aca="false">IF(D6="","",IF(D6&lt;2.5,"Red",IF(D6&lt;4,"Amber","Green")))</f>
        <v/>
      </c>
      <c r="G6" s="27"/>
      <c r="H6" s="28"/>
    </row>
    <row r="7" customFormat="false" ht="31.5" hidden="false" customHeight="true" outlineLevel="0" collapsed="false">
      <c r="A7" s="7" t="s">
        <v>72</v>
      </c>
      <c r="B7" s="8" t="s">
        <v>73</v>
      </c>
      <c r="C7" s="18"/>
      <c r="D7" s="19"/>
      <c r="E7" s="8"/>
      <c r="F7" s="20" t="str">
        <f aca="false">IF(D7="","",IF(D7&lt;2.5,"Red",IF(D7&lt;4,"Amber","Green")))</f>
        <v/>
      </c>
      <c r="G7" s="11"/>
      <c r="H7" s="21"/>
    </row>
    <row r="8" customFormat="false" ht="31.5" hidden="false" customHeight="true" outlineLevel="0" collapsed="false">
      <c r="A8" s="22" t="s">
        <v>74</v>
      </c>
      <c r="B8" s="23" t="s">
        <v>75</v>
      </c>
      <c r="C8" s="24"/>
      <c r="D8" s="25"/>
      <c r="E8" s="23"/>
      <c r="F8" s="26" t="str">
        <f aca="false">IF(D8="","",IF(D8&lt;2.5,"Red",IF(D8&lt;4,"Amber","Green")))</f>
        <v/>
      </c>
      <c r="G8" s="27"/>
      <c r="H8" s="28"/>
    </row>
    <row r="9" customFormat="false" ht="31.5" hidden="false" customHeight="true" outlineLevel="0" collapsed="false">
      <c r="A9" s="7" t="s">
        <v>76</v>
      </c>
      <c r="B9" s="8" t="s">
        <v>77</v>
      </c>
      <c r="C9" s="18"/>
      <c r="D9" s="19"/>
      <c r="E9" s="8"/>
      <c r="F9" s="20" t="str">
        <f aca="false">IF(D9="","",IF(D9&lt;2.5,"Red",IF(D9&lt;4,"Amber","Green")))</f>
        <v/>
      </c>
      <c r="G9" s="11"/>
      <c r="H9" s="21"/>
    </row>
    <row r="10" customFormat="false" ht="31.5" hidden="false" customHeight="true" outlineLevel="0" collapsed="false">
      <c r="A10" s="22" t="s">
        <v>78</v>
      </c>
      <c r="B10" s="23" t="s">
        <v>79</v>
      </c>
      <c r="C10" s="24"/>
      <c r="D10" s="25"/>
      <c r="E10" s="23"/>
      <c r="F10" s="26" t="str">
        <f aca="false">IF(D10="","",IF(D10&lt;2.5,"Red",IF(D10&lt;4,"Amber","Green")))</f>
        <v/>
      </c>
      <c r="G10" s="27"/>
      <c r="H10" s="28"/>
    </row>
    <row r="11" customFormat="false" ht="31.5" hidden="false" customHeight="true" outlineLevel="0" collapsed="false">
      <c r="A11" s="7" t="s">
        <v>80</v>
      </c>
      <c r="B11" s="8" t="s">
        <v>81</v>
      </c>
      <c r="C11" s="18"/>
      <c r="D11" s="19"/>
      <c r="E11" s="8"/>
      <c r="F11" s="20" t="str">
        <f aca="false">IF(D11="","",IF(D11&lt;2.5,"Red",IF(D11&lt;4,"Amber","Green")))</f>
        <v/>
      </c>
      <c r="G11" s="11"/>
      <c r="H11" s="21"/>
    </row>
    <row r="13" customFormat="false" ht="15" hidden="false" customHeight="false" outlineLevel="0" collapsed="false">
      <c r="A13" s="29" t="s">
        <v>51</v>
      </c>
      <c r="B13" s="29"/>
      <c r="C13" s="29"/>
      <c r="D13" s="16" t="str">
        <f aca="false">IFERROR(AVERAGE(D5:D11),"")</f>
        <v/>
      </c>
      <c r="F13" s="17" t="str">
        <f aca="false">IF(D13="","",IF(D13&lt;2.5,"Red",IF(D13&lt;4,"Amber","Green")))</f>
        <v/>
      </c>
    </row>
  </sheetData>
  <mergeCells count="3">
    <mergeCell ref="A1:H1"/>
    <mergeCell ref="A2:H2"/>
    <mergeCell ref="A13:C13"/>
  </mergeCells>
  <conditionalFormatting sqref="F5:F11">
    <cfRule type="expression" priority="2" aboveAverage="0" equalAverage="0" bottom="0" percent="0" rank="0" text="" dxfId="0">
      <formula>F5="Red"</formula>
    </cfRule>
    <cfRule type="expression" priority="3" aboveAverage="0" equalAverage="0" bottom="0" percent="0" rank="0" text="" dxfId="1">
      <formula>F5="Amber"</formula>
    </cfRule>
    <cfRule type="expression" priority="4" aboveAverage="0" equalAverage="0" bottom="0" percent="0" rank="0" text="" dxfId="2">
      <formula>F5="Green"</formula>
    </cfRule>
  </conditionalFormatting>
  <dataValidations count="1">
    <dataValidation allowBlank="true" errorStyle="stop" operator="between" showDropDown="false" showErrorMessage="false" showInputMessage="false" sqref="D5:D11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2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27.75" hidden="false" customHeight="true" outlineLevel="0" collapsed="false">
      <c r="A1" s="1" t="s">
        <v>82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29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10" t="s">
        <v>30</v>
      </c>
      <c r="B4" s="10" t="s">
        <v>31</v>
      </c>
      <c r="C4" s="10"/>
      <c r="D4" s="10" t="s">
        <v>32</v>
      </c>
      <c r="E4" s="10" t="s">
        <v>33</v>
      </c>
      <c r="F4" s="10" t="s">
        <v>34</v>
      </c>
      <c r="G4" s="10" t="s">
        <v>35</v>
      </c>
      <c r="H4" s="10" t="s">
        <v>36</v>
      </c>
    </row>
    <row r="5" customFormat="false" ht="31.5" hidden="false" customHeight="true" outlineLevel="0" collapsed="false">
      <c r="A5" s="7" t="s">
        <v>83</v>
      </c>
      <c r="B5" s="8" t="s">
        <v>84</v>
      </c>
      <c r="C5" s="18"/>
      <c r="D5" s="19"/>
      <c r="E5" s="8"/>
      <c r="F5" s="20" t="str">
        <f aca="false">IF(D5="","",IF(D5&lt;2.5,"Red",IF(D5&lt;4,"Amber","Green")))</f>
        <v/>
      </c>
      <c r="G5" s="11"/>
      <c r="H5" s="21"/>
    </row>
    <row r="6" customFormat="false" ht="31.5" hidden="false" customHeight="true" outlineLevel="0" collapsed="false">
      <c r="A6" s="22" t="s">
        <v>85</v>
      </c>
      <c r="B6" s="23" t="s">
        <v>86</v>
      </c>
      <c r="C6" s="24"/>
      <c r="D6" s="25"/>
      <c r="E6" s="23"/>
      <c r="F6" s="26" t="str">
        <f aca="false">IF(D6="","",IF(D6&lt;2.5,"Red",IF(D6&lt;4,"Amber","Green")))</f>
        <v/>
      </c>
      <c r="G6" s="27"/>
      <c r="H6" s="28"/>
    </row>
    <row r="7" customFormat="false" ht="31.5" hidden="false" customHeight="true" outlineLevel="0" collapsed="false">
      <c r="A7" s="7" t="s">
        <v>87</v>
      </c>
      <c r="B7" s="8" t="s">
        <v>88</v>
      </c>
      <c r="C7" s="18"/>
      <c r="D7" s="19"/>
      <c r="E7" s="8"/>
      <c r="F7" s="20" t="str">
        <f aca="false">IF(D7="","",IF(D7&lt;2.5,"Red",IF(D7&lt;4,"Amber","Green")))</f>
        <v/>
      </c>
      <c r="G7" s="11"/>
      <c r="H7" s="21"/>
    </row>
    <row r="8" customFormat="false" ht="31.5" hidden="false" customHeight="true" outlineLevel="0" collapsed="false">
      <c r="A8" s="22" t="s">
        <v>89</v>
      </c>
      <c r="B8" s="23" t="s">
        <v>90</v>
      </c>
      <c r="C8" s="24"/>
      <c r="D8" s="25"/>
      <c r="E8" s="23"/>
      <c r="F8" s="26" t="str">
        <f aca="false">IF(D8="","",IF(D8&lt;2.5,"Red",IF(D8&lt;4,"Amber","Green")))</f>
        <v/>
      </c>
      <c r="G8" s="27"/>
      <c r="H8" s="28"/>
    </row>
    <row r="9" customFormat="false" ht="31.5" hidden="false" customHeight="true" outlineLevel="0" collapsed="false">
      <c r="A9" s="7" t="s">
        <v>91</v>
      </c>
      <c r="B9" s="8" t="s">
        <v>92</v>
      </c>
      <c r="C9" s="18"/>
      <c r="D9" s="19"/>
      <c r="E9" s="8"/>
      <c r="F9" s="20" t="str">
        <f aca="false">IF(D9="","",IF(D9&lt;2.5,"Red",IF(D9&lt;4,"Amber","Green")))</f>
        <v/>
      </c>
      <c r="G9" s="11"/>
      <c r="H9" s="21"/>
    </row>
    <row r="10" customFormat="false" ht="31.5" hidden="false" customHeight="true" outlineLevel="0" collapsed="false">
      <c r="A10" s="22" t="s">
        <v>93</v>
      </c>
      <c r="B10" s="23" t="s">
        <v>94</v>
      </c>
      <c r="C10" s="24"/>
      <c r="D10" s="25"/>
      <c r="E10" s="23"/>
      <c r="F10" s="26" t="str">
        <f aca="false">IF(D10="","",IF(D10&lt;2.5,"Red",IF(D10&lt;4,"Amber","Green")))</f>
        <v/>
      </c>
      <c r="G10" s="27"/>
      <c r="H10" s="28"/>
    </row>
    <row r="11" customFormat="false" ht="31.5" hidden="false" customHeight="true" outlineLevel="0" collapsed="false">
      <c r="A11" s="7" t="s">
        <v>95</v>
      </c>
      <c r="B11" s="8" t="s">
        <v>96</v>
      </c>
      <c r="C11" s="18"/>
      <c r="D11" s="19"/>
      <c r="E11" s="8"/>
      <c r="F11" s="20" t="str">
        <f aca="false">IF(D11="","",IF(D11&lt;2.5,"Red",IF(D11&lt;4,"Amber","Green")))</f>
        <v/>
      </c>
      <c r="G11" s="11"/>
      <c r="H11" s="21"/>
    </row>
    <row r="13" customFormat="false" ht="15" hidden="false" customHeight="false" outlineLevel="0" collapsed="false">
      <c r="A13" s="29" t="s">
        <v>51</v>
      </c>
      <c r="B13" s="29"/>
      <c r="C13" s="29"/>
      <c r="D13" s="16" t="str">
        <f aca="false">IFERROR(AVERAGE(D5:D11),"")</f>
        <v/>
      </c>
      <c r="F13" s="17" t="str">
        <f aca="false">IF(D13="","",IF(D13&lt;2.5,"Red",IF(D13&lt;4,"Amber","Green")))</f>
        <v/>
      </c>
    </row>
  </sheetData>
  <mergeCells count="3">
    <mergeCell ref="A1:H1"/>
    <mergeCell ref="A2:H2"/>
    <mergeCell ref="A13:C13"/>
  </mergeCells>
  <conditionalFormatting sqref="F5:F11">
    <cfRule type="expression" priority="2" aboveAverage="0" equalAverage="0" bottom="0" percent="0" rank="0" text="" dxfId="0">
      <formula>F5="Red"</formula>
    </cfRule>
    <cfRule type="expression" priority="3" aboveAverage="0" equalAverage="0" bottom="0" percent="0" rank="0" text="" dxfId="1">
      <formula>F5="Amber"</formula>
    </cfRule>
    <cfRule type="expression" priority="4" aboveAverage="0" equalAverage="0" bottom="0" percent="0" rank="0" text="" dxfId="2">
      <formula>F5="Green"</formula>
    </cfRule>
  </conditionalFormatting>
  <dataValidations count="1">
    <dataValidation allowBlank="true" errorStyle="stop" operator="between" showDropDown="false" showErrorMessage="false" showInputMessage="false" sqref="D5:D11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2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27.75" hidden="false" customHeight="true" outlineLevel="0" collapsed="false">
      <c r="A1" s="1" t="s">
        <v>97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29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10" t="s">
        <v>30</v>
      </c>
      <c r="B4" s="10" t="s">
        <v>31</v>
      </c>
      <c r="C4" s="10"/>
      <c r="D4" s="10" t="s">
        <v>32</v>
      </c>
      <c r="E4" s="10" t="s">
        <v>33</v>
      </c>
      <c r="F4" s="10" t="s">
        <v>34</v>
      </c>
      <c r="G4" s="10" t="s">
        <v>35</v>
      </c>
      <c r="H4" s="10" t="s">
        <v>36</v>
      </c>
    </row>
    <row r="5" customFormat="false" ht="31.5" hidden="false" customHeight="true" outlineLevel="0" collapsed="false">
      <c r="A5" s="7" t="s">
        <v>98</v>
      </c>
      <c r="B5" s="8" t="s">
        <v>99</v>
      </c>
      <c r="C5" s="18"/>
      <c r="D5" s="19"/>
      <c r="E5" s="8"/>
      <c r="F5" s="20" t="str">
        <f aca="false">IF(D5="","",IF(D5&lt;2.5,"Red",IF(D5&lt;4,"Amber","Green")))</f>
        <v/>
      </c>
      <c r="G5" s="11"/>
      <c r="H5" s="21"/>
    </row>
    <row r="6" customFormat="false" ht="31.5" hidden="false" customHeight="true" outlineLevel="0" collapsed="false">
      <c r="A6" s="22" t="s">
        <v>100</v>
      </c>
      <c r="B6" s="23" t="s">
        <v>101</v>
      </c>
      <c r="C6" s="24"/>
      <c r="D6" s="25"/>
      <c r="E6" s="23"/>
      <c r="F6" s="26" t="str">
        <f aca="false">IF(D6="","",IF(D6&lt;2.5,"Red",IF(D6&lt;4,"Amber","Green")))</f>
        <v/>
      </c>
      <c r="G6" s="27"/>
      <c r="H6" s="28"/>
    </row>
    <row r="7" customFormat="false" ht="31.5" hidden="false" customHeight="true" outlineLevel="0" collapsed="false">
      <c r="A7" s="7" t="s">
        <v>102</v>
      </c>
      <c r="B7" s="8" t="s">
        <v>103</v>
      </c>
      <c r="C7" s="18"/>
      <c r="D7" s="19"/>
      <c r="E7" s="8"/>
      <c r="F7" s="20" t="str">
        <f aca="false">IF(D7="","",IF(D7&lt;2.5,"Red",IF(D7&lt;4,"Amber","Green")))</f>
        <v/>
      </c>
      <c r="G7" s="11"/>
      <c r="H7" s="21"/>
    </row>
    <row r="8" customFormat="false" ht="31.5" hidden="false" customHeight="true" outlineLevel="0" collapsed="false">
      <c r="A8" s="22" t="s">
        <v>104</v>
      </c>
      <c r="B8" s="23" t="s">
        <v>105</v>
      </c>
      <c r="C8" s="24"/>
      <c r="D8" s="25"/>
      <c r="E8" s="23"/>
      <c r="F8" s="26" t="str">
        <f aca="false">IF(D8="","",IF(D8&lt;2.5,"Red",IF(D8&lt;4,"Amber","Green")))</f>
        <v/>
      </c>
      <c r="G8" s="27"/>
      <c r="H8" s="28"/>
    </row>
    <row r="9" customFormat="false" ht="31.5" hidden="false" customHeight="true" outlineLevel="0" collapsed="false">
      <c r="A9" s="7" t="s">
        <v>106</v>
      </c>
      <c r="B9" s="8" t="s">
        <v>107</v>
      </c>
      <c r="C9" s="18"/>
      <c r="D9" s="19"/>
      <c r="E9" s="8"/>
      <c r="F9" s="20" t="str">
        <f aca="false">IF(D9="","",IF(D9&lt;2.5,"Red",IF(D9&lt;4,"Amber","Green")))</f>
        <v/>
      </c>
      <c r="G9" s="11"/>
      <c r="H9" s="21"/>
    </row>
    <row r="10" customFormat="false" ht="31.5" hidden="false" customHeight="true" outlineLevel="0" collapsed="false">
      <c r="A10" s="22" t="s">
        <v>108</v>
      </c>
      <c r="B10" s="23" t="s">
        <v>109</v>
      </c>
      <c r="C10" s="24"/>
      <c r="D10" s="25"/>
      <c r="E10" s="23"/>
      <c r="F10" s="26" t="str">
        <f aca="false">IF(D10="","",IF(D10&lt;2.5,"Red",IF(D10&lt;4,"Amber","Green")))</f>
        <v/>
      </c>
      <c r="G10" s="27"/>
      <c r="H10" s="28"/>
    </row>
    <row r="11" customFormat="false" ht="31.5" hidden="false" customHeight="true" outlineLevel="0" collapsed="false">
      <c r="A11" s="7" t="s">
        <v>110</v>
      </c>
      <c r="B11" s="8" t="s">
        <v>111</v>
      </c>
      <c r="C11" s="18"/>
      <c r="D11" s="19"/>
      <c r="E11" s="8"/>
      <c r="F11" s="20" t="str">
        <f aca="false">IF(D11="","",IF(D11&lt;2.5,"Red",IF(D11&lt;4,"Amber","Green")))</f>
        <v/>
      </c>
      <c r="G11" s="11"/>
      <c r="H11" s="21"/>
    </row>
    <row r="13" customFormat="false" ht="15" hidden="false" customHeight="false" outlineLevel="0" collapsed="false">
      <c r="A13" s="29" t="s">
        <v>51</v>
      </c>
      <c r="B13" s="29"/>
      <c r="C13" s="29"/>
      <c r="D13" s="16" t="str">
        <f aca="false">IFERROR(AVERAGE(D5:D11),"")</f>
        <v/>
      </c>
      <c r="F13" s="17" t="str">
        <f aca="false">IF(D13="","",IF(D13&lt;2.5,"Red",IF(D13&lt;4,"Amber","Green")))</f>
        <v/>
      </c>
    </row>
  </sheetData>
  <mergeCells count="3">
    <mergeCell ref="A1:H1"/>
    <mergeCell ref="A2:H2"/>
    <mergeCell ref="A13:C13"/>
  </mergeCells>
  <conditionalFormatting sqref="F5:F11">
    <cfRule type="expression" priority="2" aboveAverage="0" equalAverage="0" bottom="0" percent="0" rank="0" text="" dxfId="0">
      <formula>F5="Red"</formula>
    </cfRule>
    <cfRule type="expression" priority="3" aboveAverage="0" equalAverage="0" bottom="0" percent="0" rank="0" text="" dxfId="1">
      <formula>F5="Amber"</formula>
    </cfRule>
    <cfRule type="expression" priority="4" aboveAverage="0" equalAverage="0" bottom="0" percent="0" rank="0" text="" dxfId="2">
      <formula>F5="Green"</formula>
    </cfRule>
  </conditionalFormatting>
  <dataValidations count="1">
    <dataValidation allowBlank="true" errorStyle="stop" operator="between" showDropDown="false" showErrorMessage="false" showInputMessage="false" sqref="D5:D11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2026-08-05T15:29:59Z</dcterms:created>
  <dc:creator>openpyxl</dc:creator>
  <dc:description/>
  <dc:language>en-US</dc:language>
  <cp:lastModifiedBy/>
  <dcterms:modified xsi:type="dcterms:W3CDTF">2026-08-05T15:29:59Z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