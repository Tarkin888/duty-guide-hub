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Budget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<sst xmlns="http://schemas.openxmlformats.org/spreadsheetml/2006/main" count="56" uniqueCount="45">
  <si>
    <t xml:space="preserve">CD-P3 · Budget Template</t>
  </si>
  <si>
    <t xml:space="preserve">Consumer Duty Implementation — Programme Delivery</t>
  </si>
  <si>
    <t xml:space="preserve">Purpose</t>
  </si>
  <si>
    <t xml:space="preserve">This template tracks budgeted vs actual spend for the Consumer Duty implementation programme by workstream and cost category, supporting the Implementation Roadmap (CD-P3) and Resource Allocation Plan (CD-P3).</t>
  </si>
  <si>
    <t xml:space="preserve">How to use this workbook</t>
  </si>
  <si>
    <t xml:space="preserve">1. Complete one row per budget line in the Budget Tracker.
2. Enter the Budgeted amount and update Actual Spend to Date monthly.
3. Variance and % Utilised calculate automatically.
4. Review the Summary tab for total programme spend against budget.</t>
  </si>
  <si>
    <t xml:space="preserve">Cost categories</t>
  </si>
  <si>
    <t xml:space="preserve">People — internal staff time and contractor/consultant costs.
Technology — system builds, MI dashboards, data tooling.
Training — content development and delivery.
External Advisory — legal, regulatory, or specialist consultancy.
Other — printing, communications, miscellaneous.</t>
  </si>
  <si>
    <t xml:space="preserve">CD-P3 · Budget Summary by Category</t>
  </si>
  <si>
    <t xml:space="preserve">Auto-calculates from the Budget Tracker</t>
  </si>
  <si>
    <t xml:space="preserve">Cost Category</t>
  </si>
  <si>
    <t xml:space="preserve">Total Budgeted (£)</t>
  </si>
  <si>
    <t xml:space="preserve">People</t>
  </si>
  <si>
    <t xml:space="preserve">Technology</t>
  </si>
  <si>
    <t xml:space="preserve">Training</t>
  </si>
  <si>
    <t xml:space="preserve">External Advisory</t>
  </si>
  <si>
    <t xml:space="preserve">Other</t>
  </si>
  <si>
    <t xml:space="preserve">Budget lines showing over 100% utilisation should be escalated immediately to the programme sponsor.</t>
  </si>
  <si>
    <t xml:space="preserve">CD-P3 · Budget Tracker</t>
  </si>
  <si>
    <t xml:space="preserve">Budgeted vs actual spend by workstream — variance and utilisation calculate automatically</t>
  </si>
  <si>
    <t xml:space="preserve">Ref</t>
  </si>
  <si>
    <t xml:space="preserve">Workstream</t>
  </si>
  <si>
    <t xml:space="preserve">Budgeted (£)</t>
  </si>
  <si>
    <t xml:space="preserve">Actual Spend
to Date (£)</t>
  </si>
  <si>
    <t xml:space="preserve">Variance (£)</t>
  </si>
  <si>
    <t xml:space="preserve">% Utilised</t>
  </si>
  <si>
    <t xml:space="preserve">Owner</t>
  </si>
  <si>
    <t xml:space="preserve">BUD-01</t>
  </si>
  <si>
    <t xml:space="preserve">Foundation</t>
  </si>
  <si>
    <t xml:space="preserve">BUD-02</t>
  </si>
  <si>
    <t xml:space="preserve">Governance</t>
  </si>
  <si>
    <t xml:space="preserve">BUD-03</t>
  </si>
  <si>
    <t xml:space="preserve">Products &amp; Services</t>
  </si>
  <si>
    <t xml:space="preserve">BUD-04</t>
  </si>
  <si>
    <t xml:space="preserve">Price &amp; Value</t>
  </si>
  <si>
    <t xml:space="preserve">BUD-05</t>
  </si>
  <si>
    <t xml:space="preserve">Consumer Understanding</t>
  </si>
  <si>
    <t xml:space="preserve">BUD-06</t>
  </si>
  <si>
    <t xml:space="preserve">Consumer Support</t>
  </si>
  <si>
    <t xml:space="preserve">BUD-07</t>
  </si>
  <si>
    <t xml:space="preserve">Monitoring</t>
  </si>
  <si>
    <t xml:space="preserve">BUD-08</t>
  </si>
  <si>
    <t xml:space="preserve">BUD-09</t>
  </si>
  <si>
    <t xml:space="preserve">Programme-wide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</si>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</sst>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595959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DCE6F1"/>
      <rgbColor rgb="FF660066"/>
      <rgbColor rgb="FFF869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55.5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69.75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27.75" hidden="false" customHeight="true" outlineLevel="0" collapsed="false">
      <c r="A1" s="1" t="s">
        <v>8</v>
      </c>
      <c r="B1" s="1"/>
    </row>
    <row r="2" customFormat="false" ht="19.5" hidden="false" customHeight="true" outlineLevel="0" collapsed="false">
      <c r="A2" s="2" t="s">
        <v>9</v>
      </c>
      <c r="B2" s="2"/>
    </row>
    <row r="4" customFormat="false" ht="23.85" hidden="false" customHeight="false" outlineLevel="0" collapsed="false">
      <c r="A4" s="5" t="s">
        <v>10</v>
      </c>
      <c r="B4" s="5" t="s">
        <v>11</v>
      </c>
    </row>
    <row r="5" customFormat="false" ht="15" hidden="false" customHeight="false" outlineLevel="0" collapsed="false">
      <c r="A5" s="6" t="s">
        <v>12</v>
      </c>
      <c r="B5" s="7" t="n">
        <f aca="false">SUMIF('Budget Tracker'!C5:C13,A5,'Budget Tracker'!D5:D13)</f>
        <v>165000</v>
      </c>
    </row>
    <row r="6" customFormat="false" ht="15" hidden="false" customHeight="false" outlineLevel="0" collapsed="false">
      <c r="A6" s="6" t="s">
        <v>13</v>
      </c>
      <c r="B6" s="7" t="n">
        <f aca="false">SUMIF('Budget Tracker'!C5:C13,A6,'Budget Tracker'!D5:D13)</f>
        <v>240000</v>
      </c>
    </row>
    <row r="7" customFormat="false" ht="15" hidden="false" customHeight="false" outlineLevel="0" collapsed="false">
      <c r="A7" s="6" t="s">
        <v>14</v>
      </c>
      <c r="B7" s="7" t="n">
        <f aca="false">SUMIF('Budget Tracker'!C5:C13,A7,'Budget Tracker'!D5:D13)</f>
        <v>35000</v>
      </c>
    </row>
    <row r="8" customFormat="false" ht="15" hidden="false" customHeight="false" outlineLevel="0" collapsed="false">
      <c r="A8" s="6" t="s">
        <v>15</v>
      </c>
      <c r="B8" s="7" t="n">
        <f aca="false">SUMIF('Budget Tracker'!C5:C13,A8,'Budget Tracker'!D5:D13)</f>
        <v>70000</v>
      </c>
    </row>
    <row r="9" customFormat="false" ht="15" hidden="false" customHeight="false" outlineLevel="0" collapsed="false">
      <c r="A9" s="6" t="s">
        <v>16</v>
      </c>
      <c r="B9" s="7" t="n">
        <f aca="false">SUMIF('Budget Tracker'!C5:C13,A9,'Budget Tracker'!D5:D13)</f>
        <v>15000</v>
      </c>
    </row>
    <row r="11" customFormat="false" ht="15" hidden="false" customHeight="false" outlineLevel="0" collapsed="false">
      <c r="A11" s="8" t="s">
        <v>17</v>
      </c>
      <c r="B11" s="8"/>
    </row>
  </sheetData>
  <mergeCells count="3">
    <mergeCell ref="A1:B1"/>
    <mergeCell ref="A2:B2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5" min="3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19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5" t="s">
        <v>20</v>
      </c>
      <c r="B4" s="5" t="s">
        <v>21</v>
      </c>
      <c r="C4" s="5" t="s">
        <v>10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</row>
    <row r="5" customFormat="false" ht="30" hidden="false" customHeight="true" outlineLevel="0" collapsed="false">
      <c r="A5" s="9" t="s">
        <v>27</v>
      </c>
      <c r="B5" s="10" t="s">
        <v>28</v>
      </c>
      <c r="C5" s="6" t="s">
        <v>12</v>
      </c>
      <c r="D5" s="11" t="n">
        <v>45000</v>
      </c>
      <c r="E5" s="11" t="n">
        <v>44000</v>
      </c>
      <c r="F5" s="12" t="n">
        <f aca="false">D5-E5</f>
        <v>1000</v>
      </c>
      <c r="G5" s="13" t="n">
        <f aca="false">IFERROR(E5/D5,0)</f>
        <v>0.977777777777778</v>
      </c>
      <c r="H5" s="6"/>
    </row>
    <row r="6" customFormat="false" ht="30" hidden="false" customHeight="true" outlineLevel="0" collapsed="false">
      <c r="A6" s="14" t="s">
        <v>29</v>
      </c>
      <c r="B6" s="15" t="s">
        <v>30</v>
      </c>
      <c r="C6" s="16" t="s">
        <v>15</v>
      </c>
      <c r="D6" s="17" t="n">
        <v>30000</v>
      </c>
      <c r="E6" s="17" t="n">
        <v>18000</v>
      </c>
      <c r="F6" s="18" t="n">
        <f aca="false">D6-E6</f>
        <v>12000</v>
      </c>
      <c r="G6" s="19" t="n">
        <f aca="false">IFERROR(E6/D6,0)</f>
        <v>0.6</v>
      </c>
      <c r="H6" s="16"/>
    </row>
    <row r="7" customFormat="false" ht="30" hidden="false" customHeight="true" outlineLevel="0" collapsed="false">
      <c r="A7" s="9" t="s">
        <v>31</v>
      </c>
      <c r="B7" s="10" t="s">
        <v>32</v>
      </c>
      <c r="C7" s="6" t="s">
        <v>12</v>
      </c>
      <c r="D7" s="11" t="n">
        <v>120000</v>
      </c>
      <c r="E7" s="11" t="n">
        <v>55000</v>
      </c>
      <c r="F7" s="12" t="n">
        <f aca="false">D7-E7</f>
        <v>65000</v>
      </c>
      <c r="G7" s="13" t="n">
        <f aca="false">IFERROR(E7/D7,0)</f>
        <v>0.458333333333333</v>
      </c>
      <c r="H7" s="6"/>
    </row>
    <row r="8" customFormat="false" ht="30" hidden="false" customHeight="true" outlineLevel="0" collapsed="false">
      <c r="A8" s="14" t="s">
        <v>33</v>
      </c>
      <c r="B8" s="15" t="s">
        <v>34</v>
      </c>
      <c r="C8" s="16" t="s">
        <v>13</v>
      </c>
      <c r="D8" s="17" t="n">
        <v>60000</v>
      </c>
      <c r="E8" s="17" t="n">
        <v>12000</v>
      </c>
      <c r="F8" s="18" t="n">
        <f aca="false">D8-E8</f>
        <v>48000</v>
      </c>
      <c r="G8" s="19" t="n">
        <f aca="false">IFERROR(E8/D8,0)</f>
        <v>0.2</v>
      </c>
      <c r="H8" s="16"/>
    </row>
    <row r="9" customFormat="false" ht="30" hidden="false" customHeight="true" outlineLevel="0" collapsed="false">
      <c r="A9" s="9" t="s">
        <v>35</v>
      </c>
      <c r="B9" s="10" t="s">
        <v>36</v>
      </c>
      <c r="C9" s="6" t="s">
        <v>15</v>
      </c>
      <c r="D9" s="11" t="n">
        <v>40000</v>
      </c>
      <c r="E9" s="11" t="n">
        <v>5000</v>
      </c>
      <c r="F9" s="12" t="n">
        <f aca="false">D9-E9</f>
        <v>35000</v>
      </c>
      <c r="G9" s="13" t="n">
        <f aca="false">IFERROR(E9/D9,0)</f>
        <v>0.125</v>
      </c>
      <c r="H9" s="6"/>
    </row>
    <row r="10" customFormat="false" ht="30" hidden="false" customHeight="true" outlineLevel="0" collapsed="false">
      <c r="A10" s="14" t="s">
        <v>37</v>
      </c>
      <c r="B10" s="15" t="s">
        <v>38</v>
      </c>
      <c r="C10" s="16" t="s">
        <v>13</v>
      </c>
      <c r="D10" s="17" t="n">
        <v>85000</v>
      </c>
      <c r="E10" s="17" t="n">
        <v>8000</v>
      </c>
      <c r="F10" s="18" t="n">
        <f aca="false">D10-E10</f>
        <v>77000</v>
      </c>
      <c r="G10" s="19" t="n">
        <f aca="false">IFERROR(E10/D10,0)</f>
        <v>0.0941176470588235</v>
      </c>
      <c r="H10" s="16"/>
    </row>
    <row r="11" customFormat="false" ht="30" hidden="false" customHeight="true" outlineLevel="0" collapsed="false">
      <c r="A11" s="9" t="s">
        <v>39</v>
      </c>
      <c r="B11" s="10" t="s">
        <v>40</v>
      </c>
      <c r="C11" s="6" t="s">
        <v>13</v>
      </c>
      <c r="D11" s="11" t="n">
        <v>95000</v>
      </c>
      <c r="E11" s="11" t="n">
        <v>15000</v>
      </c>
      <c r="F11" s="12" t="n">
        <f aca="false">D11-E11</f>
        <v>80000</v>
      </c>
      <c r="G11" s="13" t="n">
        <f aca="false">IFERROR(E11/D11,0)</f>
        <v>0.157894736842105</v>
      </c>
      <c r="H11" s="6"/>
    </row>
    <row r="12" customFormat="false" ht="30" hidden="false" customHeight="true" outlineLevel="0" collapsed="false">
      <c r="A12" s="14" t="s">
        <v>41</v>
      </c>
      <c r="B12" s="15" t="s">
        <v>14</v>
      </c>
      <c r="C12" s="16" t="s">
        <v>14</v>
      </c>
      <c r="D12" s="17" t="n">
        <v>35000</v>
      </c>
      <c r="E12" s="17" t="n">
        <v>2000</v>
      </c>
      <c r="F12" s="18" t="n">
        <f aca="false">D12-E12</f>
        <v>33000</v>
      </c>
      <c r="G12" s="19" t="n">
        <f aca="false">IFERROR(E12/D12,0)</f>
        <v>0.0571428571428571</v>
      </c>
      <c r="H12" s="16"/>
    </row>
    <row r="13" customFormat="false" ht="30" hidden="false" customHeight="true" outlineLevel="0" collapsed="false">
      <c r="A13" s="9" t="s">
        <v>42</v>
      </c>
      <c r="B13" s="10" t="s">
        <v>43</v>
      </c>
      <c r="C13" s="6" t="s">
        <v>16</v>
      </c>
      <c r="D13" s="11" t="n">
        <v>15000</v>
      </c>
      <c r="E13" s="11" t="n">
        <v>4000</v>
      </c>
      <c r="F13" s="12" t="n">
        <f aca="false">D13-E13</f>
        <v>11000</v>
      </c>
      <c r="G13" s="13" t="n">
        <f aca="false">IFERROR(E13/D13,0)</f>
        <v>0.266666666666667</v>
      </c>
      <c r="H13" s="6"/>
    </row>
    <row r="15" customFormat="false" ht="15" hidden="false" customHeight="false" outlineLevel="0" collapsed="false">
      <c r="A15" s="20"/>
      <c r="B15" s="21" t="s">
        <v>44</v>
      </c>
      <c r="C15" s="20"/>
      <c r="D15" s="22" t="n">
        <f aca="false">SUM(D5:D13)</f>
        <v>525000</v>
      </c>
      <c r="E15" s="22" t="n">
        <f aca="false">SUM(E5:E13)</f>
        <v>163000</v>
      </c>
      <c r="F15" s="22" t="n">
        <f aca="false">SUM(F5:F13)</f>
        <v>362000</v>
      </c>
      <c r="G15" s="23" t="n">
        <f aca="false">IFERROR(E15/D15,0)</f>
        <v>0.31047619047619</v>
      </c>
      <c r="H15" s="20"/>
    </row>
  </sheetData>
  <mergeCells count="2">
    <mergeCell ref="A1:H1"/>
    <mergeCell ref="A2:H2"/>
  </mergeCells>
  <conditionalFormatting sqref="G5:G13">
    <cfRule type="cellIs" priority="2" operator="greaterThan" aboveAverage="0" equalAverage="0" bottom="0" percent="0" rank="0" text="" dxfId="0">
      <formula>1</formula>
    </cfRule>
    <cfRule type="cellIs" priority="3" operator="between" aboveAverage="0" equalAverage="0" bottom="0" percent="0" rank="0" text="" dxfId="1">
      <formula>0.8</formula>
      <formula>1</formula>
    </cfRule>
    <cfRule type="cellIs" priority="4" operator="lessThan" aboveAverage="0" equalAverage="0" bottom="0" percent="0" rank="0" text="" dxfId="2">
      <formula>0.8</formula>
    </cfRule>
  </conditionalFormatting>
  <dataValidations count="1">
    <dataValidation allowBlank="true" errorStyle="stop" operator="between" showDropDown="false" showErrorMessage="false" showInputMessage="false" sqref="C5:C13" type="list">
      <formula1>"People,Technology,Training,External Advisory,Other"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2026-08-05T20:38:18Z</dcterms:created>
  <dc:creator>openpyxl</dc:creator>
  <dc:description/>
  <dc:language>en-US</dc:language>
  <cp:lastModifiedBy/>
  <dcterms:modified xsi:type="dcterms:W3CDTF">2026-08-05T20:38:18Z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