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oadmap" sheetId="2" state="visible" r:id="rId4"/>
    <sheet name="Gantt Vie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<sst xmlns="http://schemas.openxmlformats.org/spreadsheetml/2006/main" count="89" uniqueCount="77">
  <si>
    <t xml:space="preserve">CD-P3 · Implementation Roadmap</t>
  </si>
  <si>
    <t xml:space="preserve">Consumer Duty Implementation — Programme Delivery</t>
  </si>
  <si>
    <t xml:space="preserve">Purpose</t>
  </si>
  <si>
    <t xml:space="preserve">This roadmap sequences the workstreams and milestones required to embed Consumer Duty across the firm, consolidating outputs from the Gap Analysis Framework (CD-F1) and Priority Matrix &amp; Action Plan (CD-F3) into a single delivery timeline.</t>
  </si>
  <si>
    <t xml:space="preserve">How to use this workbook</t>
  </si>
  <si>
    <t xml:space="preserve">1. Complete one row per workstream/milestone in the Roadmap tab.
2. Enter Start and End dates — the Gantt tab shading updates automatically to reflect the monthly view.
3. Update % Complete and Status as delivery progresses.
4. Review the Gantt tab for an at-a-glance view of programme timing and overlaps.</t>
  </si>
  <si>
    <t xml:space="preserve">Note</t>
  </si>
  <si>
    <t xml:space="preserve">The Gantt view covers a 12-month rolling window from the programme start date entered in cell B3 of the Gantt tab. Adjust this date to re-baseline the view.</t>
  </si>
  <si>
    <t xml:space="preserve">Workstreams and milestones — feeds the Gantt view automatically</t>
  </si>
  <si>
    <t xml:space="preserve">Ref</t>
  </si>
  <si>
    <t xml:space="preserve">Workstream</t>
  </si>
  <si>
    <t xml:space="preserve">Milestone / Deliverable</t>
  </si>
  <si>
    <t xml:space="preserve">Start Date</t>
  </si>
  <si>
    <t xml:space="preserve">End Date</t>
  </si>
  <si>
    <t xml:space="preserve">%
Complete</t>
  </si>
  <si>
    <t xml:space="preserve">Status</t>
  </si>
  <si>
    <t xml:space="preserve">Owner</t>
  </si>
  <si>
    <t xml:space="preserve">RM-01</t>
  </si>
  <si>
    <t xml:space="preserve">Foundation</t>
  </si>
  <si>
    <t xml:space="preserve">Complete Current State Maturity Assessment (CD-F1)</t>
  </si>
  <si>
    <t xml:space="preserve">2026-01-05</t>
  </si>
  <si>
    <t xml:space="preserve">2026-02-13</t>
  </si>
  <si>
    <t xml:space="preserve">Complete</t>
  </si>
  <si>
    <t xml:space="preserve">RM-02</t>
  </si>
  <si>
    <t xml:space="preserve">Complete Gap Analysis &amp; Priority Matrix (CD-F1/F3)</t>
  </si>
  <si>
    <t xml:space="preserve">2026-02-16</t>
  </si>
  <si>
    <t xml:space="preserve">2026-03-27</t>
  </si>
  <si>
    <t xml:space="preserve">RM-03</t>
  </si>
  <si>
    <t xml:space="preserve">Governance</t>
  </si>
  <si>
    <t xml:space="preserve">Establish Consumer Duty Oversight Committee (CD-P1)</t>
  </si>
  <si>
    <t xml:space="preserve">2026-01-19</t>
  </si>
  <si>
    <t xml:space="preserve">2026-02-27</t>
  </si>
  <si>
    <t xml:space="preserve">On Track</t>
  </si>
  <si>
    <t xml:space="preserve">RM-04</t>
  </si>
  <si>
    <t xml:space="preserve">Approve RACI and Decision Authority Matrices (CD-P1)</t>
  </si>
  <si>
    <t xml:space="preserve">2026-03-02</t>
  </si>
  <si>
    <t xml:space="preserve">2026-03-20</t>
  </si>
  <si>
    <t xml:space="preserve">In Progress</t>
  </si>
  <si>
    <t xml:space="preserve">RM-05</t>
  </si>
  <si>
    <t xml:space="preserve">Products &amp; Services</t>
  </si>
  <si>
    <t xml:space="preserve">Complete target market definitions for all products (CD-I1)</t>
  </si>
  <si>
    <t xml:space="preserve">2026-05-01</t>
  </si>
  <si>
    <t xml:space="preserve">RM-06</t>
  </si>
  <si>
    <t xml:space="preserve">Price &amp; Value</t>
  </si>
  <si>
    <t xml:space="preserve">Roll out Fair Value Assessment Framework (CD-I2)</t>
  </si>
  <si>
    <t xml:space="preserve">2026-04-06</t>
  </si>
  <si>
    <t xml:space="preserve">2026-06-26</t>
  </si>
  <si>
    <t xml:space="preserve">Not Started</t>
  </si>
  <si>
    <t xml:space="preserve">RM-07</t>
  </si>
  <si>
    <t xml:space="preserve">Consumer Understanding</t>
  </si>
  <si>
    <t xml:space="preserve">Implement communication testing protocol (CD-I3)</t>
  </si>
  <si>
    <t xml:space="preserve">2026-05-04</t>
  </si>
  <si>
    <t xml:space="preserve">2026-07-31</t>
  </si>
  <si>
    <t xml:space="preserve">RM-08</t>
  </si>
  <si>
    <t xml:space="preserve">Consumer Support</t>
  </si>
  <si>
    <t xml:space="preserve">Deploy vulnerable customer identification model (CD-I5)</t>
  </si>
  <si>
    <t xml:space="preserve">2026-06-01</t>
  </si>
  <si>
    <t xml:space="preserve">2026-09-25</t>
  </si>
  <si>
    <t xml:space="preserve">RM-09</t>
  </si>
  <si>
    <t xml:space="preserve">Monitoring</t>
  </si>
  <si>
    <t xml:space="preserve">Build Consumer Duty outcomes MI dashboard (CD-M1)</t>
  </si>
  <si>
    <t xml:space="preserve">2026-07-06</t>
  </si>
  <si>
    <t xml:space="preserve">2026-09-11</t>
  </si>
  <si>
    <t xml:space="preserve">RM-10</t>
  </si>
  <si>
    <t xml:space="preserve">Training</t>
  </si>
  <si>
    <t xml:space="preserve">Deliver role-based Consumer Duty training (CD-T1)</t>
  </si>
  <si>
    <t xml:space="preserve">2026-08-03</t>
  </si>
  <si>
    <t xml:space="preserve">2026-10-30</t>
  </si>
  <si>
    <t xml:space="preserve">RM-11</t>
  </si>
  <si>
    <t xml:space="preserve">Prepare first Annual Consumer Duty Board Report (CD-M3)</t>
  </si>
  <si>
    <t xml:space="preserve">2026-10-05</t>
  </si>
  <si>
    <t xml:space="preserve">2026-12-18</t>
  </si>
  <si>
    <t xml:space="preserve">CD-P3 · Roadmap Gantt View</t>
  </si>
  <si>
    <t xml:space="preserve">Monthly view auto-shaded from Start/End dates in the Roadmap tab</t>
  </si>
  <si>
    <t xml:space="preserve">Programme Start</t>
  </si>
  <si>
    <t xml:space="preserve">Milestone</t>
  </si>
  <si>
    <t xml:space="preserve">Blue shading indicates the milestone is active during that month, calculated from the Start/End dates in the Roadmap tab.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</si>
</sst>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%"/>
    <numFmt numFmtId="167" formatCode="mmm\-yyyy"/>
    <numFmt numFmtId="168" formatCode="mmm\-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DD7EE"/>
        </patternFill>
      </fill>
    </dxf>
    <dxf>
      <fill>
        <patternFill>
          <bgColor rgb="FF63BE7B"/>
        </patternFill>
      </fill>
    </dxf>
    <dxf>
      <fill>
        <patternFill>
          <bgColor rgb="FFD9D9D9"/>
        </patternFill>
      </fill>
    </dxf>
    <dxf>
      <fill>
        <patternFill>
          <bgColor rgb="FF2E5C8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18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</row>
    <row r="5" customFormat="false" ht="33.75" hidden="false" customHeight="true" outlineLevel="0" collapsed="false">
      <c r="A5" s="6" t="s">
        <v>17</v>
      </c>
      <c r="B5" s="7" t="s">
        <v>18</v>
      </c>
      <c r="C5" s="7" t="s">
        <v>19</v>
      </c>
      <c r="D5" s="8" t="s">
        <v>20</v>
      </c>
      <c r="E5" s="8" t="s">
        <v>21</v>
      </c>
      <c r="F5" s="9" t="n">
        <v>1</v>
      </c>
      <c r="G5" s="10" t="s">
        <v>22</v>
      </c>
      <c r="H5" s="11"/>
    </row>
    <row r="6" customFormat="false" ht="33.75" hidden="false" customHeight="true" outlineLevel="0" collapsed="false">
      <c r="A6" s="12" t="s">
        <v>23</v>
      </c>
      <c r="B6" s="13" t="s">
        <v>18</v>
      </c>
      <c r="C6" s="13" t="s">
        <v>24</v>
      </c>
      <c r="D6" s="14" t="s">
        <v>25</v>
      </c>
      <c r="E6" s="14" t="s">
        <v>26</v>
      </c>
      <c r="F6" s="15" t="n">
        <v>1</v>
      </c>
      <c r="G6" s="16" t="s">
        <v>22</v>
      </c>
      <c r="H6" s="17"/>
    </row>
    <row r="7" customFormat="false" ht="33.75" hidden="false" customHeight="true" outlineLevel="0" collapsed="false">
      <c r="A7" s="6" t="s">
        <v>27</v>
      </c>
      <c r="B7" s="7" t="s">
        <v>28</v>
      </c>
      <c r="C7" s="7" t="s">
        <v>29</v>
      </c>
      <c r="D7" s="8" t="s">
        <v>30</v>
      </c>
      <c r="E7" s="8" t="s">
        <v>31</v>
      </c>
      <c r="F7" s="9" t="n">
        <v>0.9</v>
      </c>
      <c r="G7" s="10" t="s">
        <v>32</v>
      </c>
      <c r="H7" s="11"/>
    </row>
    <row r="8" customFormat="false" ht="33.75" hidden="false" customHeight="true" outlineLevel="0" collapsed="false">
      <c r="A8" s="12" t="s">
        <v>33</v>
      </c>
      <c r="B8" s="13" t="s">
        <v>28</v>
      </c>
      <c r="C8" s="13" t="s">
        <v>34</v>
      </c>
      <c r="D8" s="14" t="s">
        <v>35</v>
      </c>
      <c r="E8" s="14" t="s">
        <v>36</v>
      </c>
      <c r="F8" s="15" t="n">
        <v>0.5</v>
      </c>
      <c r="G8" s="16" t="s">
        <v>37</v>
      </c>
      <c r="H8" s="17"/>
    </row>
    <row r="9" customFormat="false" ht="33.75" hidden="false" customHeight="true" outlineLevel="0" collapsed="false">
      <c r="A9" s="6" t="s">
        <v>38</v>
      </c>
      <c r="B9" s="7" t="s">
        <v>39</v>
      </c>
      <c r="C9" s="7" t="s">
        <v>40</v>
      </c>
      <c r="D9" s="8" t="s">
        <v>35</v>
      </c>
      <c r="E9" s="8" t="s">
        <v>41</v>
      </c>
      <c r="F9" s="9" t="n">
        <v>0.4</v>
      </c>
      <c r="G9" s="10" t="s">
        <v>32</v>
      </c>
      <c r="H9" s="11"/>
    </row>
    <row r="10" customFormat="false" ht="33.75" hidden="false" customHeight="true" outlineLevel="0" collapsed="false">
      <c r="A10" s="12" t="s">
        <v>42</v>
      </c>
      <c r="B10" s="13" t="s">
        <v>43</v>
      </c>
      <c r="C10" s="13" t="s">
        <v>44</v>
      </c>
      <c r="D10" s="14" t="s">
        <v>45</v>
      </c>
      <c r="E10" s="14" t="s">
        <v>46</v>
      </c>
      <c r="F10" s="15" t="n">
        <v>0.1</v>
      </c>
      <c r="G10" s="16" t="s">
        <v>47</v>
      </c>
      <c r="H10" s="17"/>
    </row>
    <row r="11" customFormat="false" ht="33.75" hidden="false" customHeight="true" outlineLevel="0" collapsed="false">
      <c r="A11" s="6" t="s">
        <v>48</v>
      </c>
      <c r="B11" s="7" t="s">
        <v>49</v>
      </c>
      <c r="C11" s="7" t="s">
        <v>50</v>
      </c>
      <c r="D11" s="8" t="s">
        <v>51</v>
      </c>
      <c r="E11" s="8" t="s">
        <v>52</v>
      </c>
      <c r="F11" s="9" t="n">
        <v>0</v>
      </c>
      <c r="G11" s="10" t="s">
        <v>47</v>
      </c>
      <c r="H11" s="11"/>
    </row>
    <row r="12" customFormat="false" ht="33.75" hidden="false" customHeight="true" outlineLevel="0" collapsed="false">
      <c r="A12" s="12" t="s">
        <v>53</v>
      </c>
      <c r="B12" s="13" t="s">
        <v>54</v>
      </c>
      <c r="C12" s="13" t="s">
        <v>55</v>
      </c>
      <c r="D12" s="14" t="s">
        <v>56</v>
      </c>
      <c r="E12" s="14" t="s">
        <v>57</v>
      </c>
      <c r="F12" s="15" t="n">
        <v>0</v>
      </c>
      <c r="G12" s="16" t="s">
        <v>47</v>
      </c>
      <c r="H12" s="17"/>
    </row>
    <row r="13" customFormat="false" ht="33.75" hidden="false" customHeight="true" outlineLevel="0" collapsed="false">
      <c r="A13" s="6" t="s">
        <v>58</v>
      </c>
      <c r="B13" s="7" t="s">
        <v>59</v>
      </c>
      <c r="C13" s="7" t="s">
        <v>60</v>
      </c>
      <c r="D13" s="8" t="s">
        <v>61</v>
      </c>
      <c r="E13" s="8" t="s">
        <v>62</v>
      </c>
      <c r="F13" s="9" t="n">
        <v>0</v>
      </c>
      <c r="G13" s="10" t="s">
        <v>47</v>
      </c>
      <c r="H13" s="11"/>
    </row>
    <row r="14" customFormat="false" ht="33.75" hidden="false" customHeight="true" outlineLevel="0" collapsed="false">
      <c r="A14" s="12" t="s">
        <v>63</v>
      </c>
      <c r="B14" s="13" t="s">
        <v>64</v>
      </c>
      <c r="C14" s="13" t="s">
        <v>65</v>
      </c>
      <c r="D14" s="14" t="s">
        <v>66</v>
      </c>
      <c r="E14" s="14" t="s">
        <v>67</v>
      </c>
      <c r="F14" s="15" t="n">
        <v>0</v>
      </c>
      <c r="G14" s="16" t="s">
        <v>47</v>
      </c>
      <c r="H14" s="17"/>
    </row>
    <row r="15" customFormat="false" ht="33.75" hidden="false" customHeight="true" outlineLevel="0" collapsed="false">
      <c r="A15" s="6" t="s">
        <v>68</v>
      </c>
      <c r="B15" s="7" t="s">
        <v>28</v>
      </c>
      <c r="C15" s="7" t="s">
        <v>69</v>
      </c>
      <c r="D15" s="8" t="s">
        <v>70</v>
      </c>
      <c r="E15" s="8" t="s">
        <v>71</v>
      </c>
      <c r="F15" s="9" t="n">
        <v>0</v>
      </c>
      <c r="G15" s="10" t="s">
        <v>47</v>
      </c>
      <c r="H15" s="11"/>
    </row>
  </sheetData>
  <mergeCells count="2">
    <mergeCell ref="A1:H1"/>
    <mergeCell ref="A2:H2"/>
  </mergeCells>
  <conditionalFormatting sqref="G5:G15">
    <cfRule type="expression" priority="2" aboveAverage="0" equalAverage="0" bottom="0" percent="0" rank="0" text="" dxfId="0">
      <formula>G5="At Risk"</formula>
    </cfRule>
    <cfRule type="expression" priority="3" aboveAverage="0" equalAverage="0" bottom="0" percent="0" rank="0" text="" dxfId="1">
      <formula>G5="In Progress"</formula>
    </cfRule>
    <cfRule type="expression" priority="4" aboveAverage="0" equalAverage="0" bottom="0" percent="0" rank="0" text="" dxfId="2">
      <formula>G5="On Track"</formula>
    </cfRule>
    <cfRule type="expression" priority="5" aboveAverage="0" equalAverage="0" bottom="0" percent="0" rank="0" text="" dxfId="3">
      <formula>G5="Complete"</formula>
    </cfRule>
    <cfRule type="expression" priority="6" aboveAverage="0" equalAverage="0" bottom="0" percent="0" rank="0" text="" dxfId="4">
      <formula>G5="Not Started"</formula>
    </cfRule>
  </conditionalFormatting>
  <dataValidations count="1">
    <dataValidation allowBlank="true" errorStyle="stop" operator="between" showDropDown="false" showErrorMessage="false" showInputMessage="false" sqref="G5:G15" type="list">
      <formula1>"Not Started,In Progress,On Track,At Risk,Complete"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8"/>
  </cols>
  <sheetData>
    <row r="1" customFormat="false" ht="27.7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18" t="s">
        <v>74</v>
      </c>
      <c r="B3" s="19" t="n">
        <v>46023</v>
      </c>
    </row>
    <row r="4" customFormat="false" ht="19.5" hidden="false" customHeight="true" outlineLevel="0" collapsed="false">
      <c r="A4" s="5" t="s">
        <v>75</v>
      </c>
      <c r="B4" s="20" t="n">
        <f aca="false">EDATE($B$3,0)</f>
        <v>46023</v>
      </c>
      <c r="C4" s="20" t="n">
        <f aca="false">EDATE($B$3,1)</f>
        <v>46054</v>
      </c>
      <c r="D4" s="20" t="n">
        <f aca="false">EDATE($B$3,2)</f>
        <v>46082</v>
      </c>
      <c r="E4" s="20" t="n">
        <f aca="false">EDATE($B$3,3)</f>
        <v>46113</v>
      </c>
      <c r="F4" s="20" t="n">
        <f aca="false">EDATE($B$3,4)</f>
        <v>46143</v>
      </c>
      <c r="G4" s="20" t="n">
        <f aca="false">EDATE($B$3,5)</f>
        <v>46174</v>
      </c>
      <c r="H4" s="20" t="n">
        <f aca="false">EDATE($B$3,6)</f>
        <v>46204</v>
      </c>
      <c r="I4" s="20" t="n">
        <f aca="false">EDATE($B$3,7)</f>
        <v>46235</v>
      </c>
      <c r="J4" s="20" t="n">
        <f aca="false">EDATE($B$3,8)</f>
        <v>46266</v>
      </c>
      <c r="K4" s="20" t="n">
        <f aca="false">EDATE($B$3,9)</f>
        <v>46296</v>
      </c>
      <c r="L4" s="20" t="n">
        <f aca="false">EDATE($B$3,10)</f>
        <v>46327</v>
      </c>
      <c r="M4" s="20" t="n">
        <f aca="false">EDATE($B$3,11)</f>
        <v>46357</v>
      </c>
    </row>
    <row r="5" customFormat="false" ht="25.5" hidden="false" customHeight="true" outlineLevel="0" collapsed="false">
      <c r="A5" s="21" t="str">
        <f aca="false">Roadmap!C5</f>
        <v>Complete Current State Maturity Assessment (CD-F1)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customFormat="false" ht="25.5" hidden="false" customHeight="true" outlineLevel="0" collapsed="false">
      <c r="A6" s="21" t="str">
        <f aca="false">Roadmap!C6</f>
        <v>Complete Gap Analysis &amp; Priority Matrix (CD-F1/F3)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customFormat="false" ht="25.5" hidden="false" customHeight="true" outlineLevel="0" collapsed="false">
      <c r="A7" s="21" t="str">
        <f aca="false">Roadmap!C7</f>
        <v>Establish Consumer Duty Oversight Committee (CD-P1)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customFormat="false" ht="25.5" hidden="false" customHeight="true" outlineLevel="0" collapsed="false">
      <c r="A8" s="21" t="str">
        <f aca="false">Roadmap!C8</f>
        <v>Approve RACI and Decision Authority Matrices (CD-P1)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customFormat="false" ht="25.5" hidden="false" customHeight="true" outlineLevel="0" collapsed="false">
      <c r="A9" s="21" t="str">
        <f aca="false">Roadmap!C9</f>
        <v>Complete target market definitions for all products (CD-I1)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customFormat="false" ht="25.5" hidden="false" customHeight="true" outlineLevel="0" collapsed="false">
      <c r="A10" s="21" t="str">
        <f aca="false">Roadmap!C10</f>
        <v>Roll out Fair Value Assessment Framework (CD-I2)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customFormat="false" ht="25.5" hidden="false" customHeight="true" outlineLevel="0" collapsed="false">
      <c r="A11" s="21" t="str">
        <f aca="false">Roadmap!C11</f>
        <v>Implement communication testing protocol (CD-I3)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customFormat="false" ht="25.5" hidden="false" customHeight="true" outlineLevel="0" collapsed="false">
      <c r="A12" s="21" t="str">
        <f aca="false">Roadmap!C12</f>
        <v>Deploy vulnerable customer identification model (CD-I5)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customFormat="false" ht="25.5" hidden="false" customHeight="true" outlineLevel="0" collapsed="false">
      <c r="A13" s="21" t="str">
        <f aca="false">Roadmap!C13</f>
        <v>Build Consumer Duty outcomes MI dashboard (CD-M1)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customFormat="false" ht="25.5" hidden="false" customHeight="true" outlineLevel="0" collapsed="false">
      <c r="A14" s="21" t="str">
        <f aca="false">Roadmap!C14</f>
        <v>Deliver role-based Consumer Duty training (CD-T1)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customFormat="false" ht="25.5" hidden="false" customHeight="true" outlineLevel="0" collapsed="false">
      <c r="A15" s="21" t="str">
        <f aca="false">Roadmap!C15</f>
        <v>Prepare first Annual Consumer Duty Board Report (CD-M3)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7" customFormat="false" ht="15" hidden="false" customHeight="false" outlineLevel="0" collapsed="false">
      <c r="A17" s="23" t="s">
        <v>76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</sheetData>
  <mergeCells count="3">
    <mergeCell ref="A1:N1"/>
    <mergeCell ref="A2:N2"/>
    <mergeCell ref="A17:M17"/>
  </mergeCells>
  <conditionalFormatting sqref="B5">
    <cfRule type="expression" priority="2" aboveAverage="0" equalAverage="0" bottom="0" percent="0" rank="0" text="" dxfId="5">
      <formula>AND(B$4&lt;=EOMONTH(Roadmap!$E$5,0),EOMONTH(B$4,0)&gt;=Roadmap!$D$5)</formula>
    </cfRule>
  </conditionalFormatting>
  <conditionalFormatting sqref="B6">
    <cfRule type="expression" priority="3" aboveAverage="0" equalAverage="0" bottom="0" percent="0" rank="0" text="" dxfId="5">
      <formula>AND(B$4&lt;=EOMONTH(Roadmap!$E$6,0),EOMONTH(B$4,0)&gt;=Roadmap!$D$6)</formula>
    </cfRule>
  </conditionalFormatting>
  <conditionalFormatting sqref="B7">
    <cfRule type="expression" priority="4" aboveAverage="0" equalAverage="0" bottom="0" percent="0" rank="0" text="" dxfId="5">
      <formula>AND(B$4&lt;=EOMONTH(Roadmap!$E$7,0),EOMONTH(B$4,0)&gt;=Roadmap!$D$7)</formula>
    </cfRule>
  </conditionalFormatting>
  <conditionalFormatting sqref="B8">
    <cfRule type="expression" priority="5" aboveAverage="0" equalAverage="0" bottom="0" percent="0" rank="0" text="" dxfId="5">
      <formula>AND(B$4&lt;=EOMONTH(Roadmap!$E$8,0),EOMONTH(B$4,0)&gt;=Roadmap!$D$8)</formula>
    </cfRule>
  </conditionalFormatting>
  <conditionalFormatting sqref="B9">
    <cfRule type="expression" priority="6" aboveAverage="0" equalAverage="0" bottom="0" percent="0" rank="0" text="" dxfId="5">
      <formula>AND(B$4&lt;=EOMONTH(Roadmap!$E$9,0),EOMONTH(B$4,0)&gt;=Roadmap!$D$9)</formula>
    </cfRule>
  </conditionalFormatting>
  <conditionalFormatting sqref="B10">
    <cfRule type="expression" priority="7" aboveAverage="0" equalAverage="0" bottom="0" percent="0" rank="0" text="" dxfId="5">
      <formula>AND(B$4&lt;=EOMONTH(Roadmap!$E$10,0),EOMONTH(B$4,0)&gt;=Roadmap!$D$10)</formula>
    </cfRule>
  </conditionalFormatting>
  <conditionalFormatting sqref="B11">
    <cfRule type="expression" priority="8" aboveAverage="0" equalAverage="0" bottom="0" percent="0" rank="0" text="" dxfId="5">
      <formula>AND(B$4&lt;=EOMONTH(Roadmap!$E$11,0),EOMONTH(B$4,0)&gt;=Roadmap!$D$11)</formula>
    </cfRule>
  </conditionalFormatting>
  <conditionalFormatting sqref="B12">
    <cfRule type="expression" priority="9" aboveAverage="0" equalAverage="0" bottom="0" percent="0" rank="0" text="" dxfId="5">
      <formula>AND(B$4&lt;=EOMONTH(Roadmap!$E$12,0),EOMONTH(B$4,0)&gt;=Roadmap!$D$12)</formula>
    </cfRule>
  </conditionalFormatting>
  <conditionalFormatting sqref="B13">
    <cfRule type="expression" priority="10" aboveAverage="0" equalAverage="0" bottom="0" percent="0" rank="0" text="" dxfId="5">
      <formula>AND(B$4&lt;=EOMONTH(Roadmap!$E$13,0),EOMONTH(B$4,0)&gt;=Roadmap!$D$13)</formula>
    </cfRule>
  </conditionalFormatting>
  <conditionalFormatting sqref="B14">
    <cfRule type="expression" priority="11" aboveAverage="0" equalAverage="0" bottom="0" percent="0" rank="0" text="" dxfId="5">
      <formula>AND(B$4&lt;=EOMONTH(Roadmap!$E$14,0),EOMONTH(B$4,0)&gt;=Roadmap!$D$14)</formula>
    </cfRule>
  </conditionalFormatting>
  <conditionalFormatting sqref="B15">
    <cfRule type="expression" priority="12" aboveAverage="0" equalAverage="0" bottom="0" percent="0" rank="0" text="" dxfId="5">
      <formula>AND(B$4&lt;=EOMONTH(Roadmap!$E$15,0),EOMONTH(B$4,0)&gt;=Roadmap!$D$15)</formula>
    </cfRule>
  </conditionalFormatting>
  <conditionalFormatting sqref="C5">
    <cfRule type="expression" priority="13" aboveAverage="0" equalAverage="0" bottom="0" percent="0" rank="0" text="" dxfId="5">
      <formula>AND(C$4&lt;=EOMONTH(Roadmap!$E$5,0),EOMONTH(C$4,0)&gt;=Roadmap!$D$5)</formula>
    </cfRule>
  </conditionalFormatting>
  <conditionalFormatting sqref="C6">
    <cfRule type="expression" priority="14" aboveAverage="0" equalAverage="0" bottom="0" percent="0" rank="0" text="" dxfId="5">
      <formula>AND(C$4&lt;=EOMONTH(Roadmap!$E$6,0),EOMONTH(C$4,0)&gt;=Roadmap!$D$6)</formula>
    </cfRule>
  </conditionalFormatting>
  <conditionalFormatting sqref="C7">
    <cfRule type="expression" priority="15" aboveAverage="0" equalAverage="0" bottom="0" percent="0" rank="0" text="" dxfId="5">
      <formula>AND(C$4&lt;=EOMONTH(Roadmap!$E$7,0),EOMONTH(C$4,0)&gt;=Roadmap!$D$7)</formula>
    </cfRule>
  </conditionalFormatting>
  <conditionalFormatting sqref="C8">
    <cfRule type="expression" priority="16" aboveAverage="0" equalAverage="0" bottom="0" percent="0" rank="0" text="" dxfId="5">
      <formula>AND(C$4&lt;=EOMONTH(Roadmap!$E$8,0),EOMONTH(C$4,0)&gt;=Roadmap!$D$8)</formula>
    </cfRule>
  </conditionalFormatting>
  <conditionalFormatting sqref="C9">
    <cfRule type="expression" priority="17" aboveAverage="0" equalAverage="0" bottom="0" percent="0" rank="0" text="" dxfId="5">
      <formula>AND(C$4&lt;=EOMONTH(Roadmap!$E$9,0),EOMONTH(C$4,0)&gt;=Roadmap!$D$9)</formula>
    </cfRule>
  </conditionalFormatting>
  <conditionalFormatting sqref="C10">
    <cfRule type="expression" priority="18" aboveAverage="0" equalAverage="0" bottom="0" percent="0" rank="0" text="" dxfId="5">
      <formula>AND(C$4&lt;=EOMONTH(Roadmap!$E$10,0),EOMONTH(C$4,0)&gt;=Roadmap!$D$10)</formula>
    </cfRule>
  </conditionalFormatting>
  <conditionalFormatting sqref="C11">
    <cfRule type="expression" priority="19" aboveAverage="0" equalAverage="0" bottom="0" percent="0" rank="0" text="" dxfId="5">
      <formula>AND(C$4&lt;=EOMONTH(Roadmap!$E$11,0),EOMONTH(C$4,0)&gt;=Roadmap!$D$11)</formula>
    </cfRule>
  </conditionalFormatting>
  <conditionalFormatting sqref="C12">
    <cfRule type="expression" priority="20" aboveAverage="0" equalAverage="0" bottom="0" percent="0" rank="0" text="" dxfId="5">
      <formula>AND(C$4&lt;=EOMONTH(Roadmap!$E$12,0),EOMONTH(C$4,0)&gt;=Roadmap!$D$12)</formula>
    </cfRule>
  </conditionalFormatting>
  <conditionalFormatting sqref="C13">
    <cfRule type="expression" priority="21" aboveAverage="0" equalAverage="0" bottom="0" percent="0" rank="0" text="" dxfId="5">
      <formula>AND(C$4&lt;=EOMONTH(Roadmap!$E$13,0),EOMONTH(C$4,0)&gt;=Roadmap!$D$13)</formula>
    </cfRule>
  </conditionalFormatting>
  <conditionalFormatting sqref="C14">
    <cfRule type="expression" priority="22" aboveAverage="0" equalAverage="0" bottom="0" percent="0" rank="0" text="" dxfId="5">
      <formula>AND(C$4&lt;=EOMONTH(Roadmap!$E$14,0),EOMONTH(C$4,0)&gt;=Roadmap!$D$14)</formula>
    </cfRule>
  </conditionalFormatting>
  <conditionalFormatting sqref="C15">
    <cfRule type="expression" priority="23" aboveAverage="0" equalAverage="0" bottom="0" percent="0" rank="0" text="" dxfId="5">
      <formula>AND(C$4&lt;=EOMONTH(Roadmap!$E$15,0),EOMONTH(C$4,0)&gt;=Roadmap!$D$15)</formula>
    </cfRule>
  </conditionalFormatting>
  <conditionalFormatting sqref="D5">
    <cfRule type="expression" priority="24" aboveAverage="0" equalAverage="0" bottom="0" percent="0" rank="0" text="" dxfId="5">
      <formula>AND(D$4&lt;=EOMONTH(Roadmap!$E$5,0),EOMONTH(D$4,0)&gt;=Roadmap!$D$5)</formula>
    </cfRule>
  </conditionalFormatting>
  <conditionalFormatting sqref="D6">
    <cfRule type="expression" priority="25" aboveAverage="0" equalAverage="0" bottom="0" percent="0" rank="0" text="" dxfId="5">
      <formula>AND(D$4&lt;=EOMONTH(Roadmap!$E$6,0),EOMONTH(D$4,0)&gt;=Roadmap!$D$6)</formula>
    </cfRule>
  </conditionalFormatting>
  <conditionalFormatting sqref="D7">
    <cfRule type="expression" priority="26" aboveAverage="0" equalAverage="0" bottom="0" percent="0" rank="0" text="" dxfId="5">
      <formula>AND(D$4&lt;=EOMONTH(Roadmap!$E$7,0),EOMONTH(D$4,0)&gt;=Roadmap!$D$7)</formula>
    </cfRule>
  </conditionalFormatting>
  <conditionalFormatting sqref="D8">
    <cfRule type="expression" priority="27" aboveAverage="0" equalAverage="0" bottom="0" percent="0" rank="0" text="" dxfId="5">
      <formula>AND(D$4&lt;=EOMONTH(Roadmap!$E$8,0),EOMONTH(D$4,0)&gt;=Roadmap!$D$8)</formula>
    </cfRule>
  </conditionalFormatting>
  <conditionalFormatting sqref="D9">
    <cfRule type="expression" priority="28" aboveAverage="0" equalAverage="0" bottom="0" percent="0" rank="0" text="" dxfId="5">
      <formula>AND(D$4&lt;=EOMONTH(Roadmap!$E$9,0),EOMONTH(D$4,0)&gt;=Roadmap!$D$9)</formula>
    </cfRule>
  </conditionalFormatting>
  <conditionalFormatting sqref="D10">
    <cfRule type="expression" priority="29" aboveAverage="0" equalAverage="0" bottom="0" percent="0" rank="0" text="" dxfId="5">
      <formula>AND(D$4&lt;=EOMONTH(Roadmap!$E$10,0),EOMONTH(D$4,0)&gt;=Roadmap!$D$10)</formula>
    </cfRule>
  </conditionalFormatting>
  <conditionalFormatting sqref="D11">
    <cfRule type="expression" priority="30" aboveAverage="0" equalAverage="0" bottom="0" percent="0" rank="0" text="" dxfId="5">
      <formula>AND(D$4&lt;=EOMONTH(Roadmap!$E$11,0),EOMONTH(D$4,0)&gt;=Roadmap!$D$11)</formula>
    </cfRule>
  </conditionalFormatting>
  <conditionalFormatting sqref="D12">
    <cfRule type="expression" priority="31" aboveAverage="0" equalAverage="0" bottom="0" percent="0" rank="0" text="" dxfId="5">
      <formula>AND(D$4&lt;=EOMONTH(Roadmap!$E$12,0),EOMONTH(D$4,0)&gt;=Roadmap!$D$12)</formula>
    </cfRule>
  </conditionalFormatting>
  <conditionalFormatting sqref="D13">
    <cfRule type="expression" priority="32" aboveAverage="0" equalAverage="0" bottom="0" percent="0" rank="0" text="" dxfId="5">
      <formula>AND(D$4&lt;=EOMONTH(Roadmap!$E$13,0),EOMONTH(D$4,0)&gt;=Roadmap!$D$13)</formula>
    </cfRule>
  </conditionalFormatting>
  <conditionalFormatting sqref="D14">
    <cfRule type="expression" priority="33" aboveAverage="0" equalAverage="0" bottom="0" percent="0" rank="0" text="" dxfId="5">
      <formula>AND(D$4&lt;=EOMONTH(Roadmap!$E$14,0),EOMONTH(D$4,0)&gt;=Roadmap!$D$14)</formula>
    </cfRule>
  </conditionalFormatting>
  <conditionalFormatting sqref="D15">
    <cfRule type="expression" priority="34" aboveAverage="0" equalAverage="0" bottom="0" percent="0" rank="0" text="" dxfId="5">
      <formula>AND(D$4&lt;=EOMONTH(Roadmap!$E$15,0),EOMONTH(D$4,0)&gt;=Roadmap!$D$15)</formula>
    </cfRule>
  </conditionalFormatting>
  <conditionalFormatting sqref="E5">
    <cfRule type="expression" priority="35" aboveAverage="0" equalAverage="0" bottom="0" percent="0" rank="0" text="" dxfId="5">
      <formula>AND(E$4&lt;=EOMONTH(Roadmap!$E$5,0),EOMONTH(E$4,0)&gt;=Roadmap!$D$5)</formula>
    </cfRule>
  </conditionalFormatting>
  <conditionalFormatting sqref="E6">
    <cfRule type="expression" priority="36" aboveAverage="0" equalAverage="0" bottom="0" percent="0" rank="0" text="" dxfId="5">
      <formula>AND(E$4&lt;=EOMONTH(Roadmap!$E$6,0),EOMONTH(E$4,0)&gt;=Roadmap!$D$6)</formula>
    </cfRule>
  </conditionalFormatting>
  <conditionalFormatting sqref="E7">
    <cfRule type="expression" priority="37" aboveAverage="0" equalAverage="0" bottom="0" percent="0" rank="0" text="" dxfId="5">
      <formula>AND(E$4&lt;=EOMONTH(Roadmap!$E$7,0),EOMONTH(E$4,0)&gt;=Roadmap!$D$7)</formula>
    </cfRule>
  </conditionalFormatting>
  <conditionalFormatting sqref="E8">
    <cfRule type="expression" priority="38" aboveAverage="0" equalAverage="0" bottom="0" percent="0" rank="0" text="" dxfId="5">
      <formula>AND(E$4&lt;=EOMONTH(Roadmap!$E$8,0),EOMONTH(E$4,0)&gt;=Roadmap!$D$8)</formula>
    </cfRule>
  </conditionalFormatting>
  <conditionalFormatting sqref="E9">
    <cfRule type="expression" priority="39" aboveAverage="0" equalAverage="0" bottom="0" percent="0" rank="0" text="" dxfId="5">
      <formula>AND(E$4&lt;=EOMONTH(Roadmap!$E$9,0),EOMONTH(E$4,0)&gt;=Roadmap!$D$9)</formula>
    </cfRule>
  </conditionalFormatting>
  <conditionalFormatting sqref="E10">
    <cfRule type="expression" priority="40" aboveAverage="0" equalAverage="0" bottom="0" percent="0" rank="0" text="" dxfId="5">
      <formula>AND(E$4&lt;=EOMONTH(Roadmap!$E$10,0),EOMONTH(E$4,0)&gt;=Roadmap!$D$10)</formula>
    </cfRule>
  </conditionalFormatting>
  <conditionalFormatting sqref="E11">
    <cfRule type="expression" priority="41" aboveAverage="0" equalAverage="0" bottom="0" percent="0" rank="0" text="" dxfId="5">
      <formula>AND(E$4&lt;=EOMONTH(Roadmap!$E$11,0),EOMONTH(E$4,0)&gt;=Roadmap!$D$11)</formula>
    </cfRule>
  </conditionalFormatting>
  <conditionalFormatting sqref="E12">
    <cfRule type="expression" priority="42" aboveAverage="0" equalAverage="0" bottom="0" percent="0" rank="0" text="" dxfId="5">
      <formula>AND(E$4&lt;=EOMONTH(Roadmap!$E$12,0),EOMONTH(E$4,0)&gt;=Roadmap!$D$12)</formula>
    </cfRule>
  </conditionalFormatting>
  <conditionalFormatting sqref="E13">
    <cfRule type="expression" priority="43" aboveAverage="0" equalAverage="0" bottom="0" percent="0" rank="0" text="" dxfId="5">
      <formula>AND(E$4&lt;=EOMONTH(Roadmap!$E$13,0),EOMONTH(E$4,0)&gt;=Roadmap!$D$13)</formula>
    </cfRule>
  </conditionalFormatting>
  <conditionalFormatting sqref="E14">
    <cfRule type="expression" priority="44" aboveAverage="0" equalAverage="0" bottom="0" percent="0" rank="0" text="" dxfId="5">
      <formula>AND(E$4&lt;=EOMONTH(Roadmap!$E$14,0),EOMONTH(E$4,0)&gt;=Roadmap!$D$14)</formula>
    </cfRule>
  </conditionalFormatting>
  <conditionalFormatting sqref="E15">
    <cfRule type="expression" priority="45" aboveAverage="0" equalAverage="0" bottom="0" percent="0" rank="0" text="" dxfId="5">
      <formula>AND(E$4&lt;=EOMONTH(Roadmap!$E$15,0),EOMONTH(E$4,0)&gt;=Roadmap!$D$15)</formula>
    </cfRule>
  </conditionalFormatting>
  <conditionalFormatting sqref="F5">
    <cfRule type="expression" priority="46" aboveAverage="0" equalAverage="0" bottom="0" percent="0" rank="0" text="" dxfId="5">
      <formula>AND(F$4&lt;=EOMONTH(Roadmap!$E$5,0),EOMONTH(F$4,0)&gt;=Roadmap!$D$5)</formula>
    </cfRule>
  </conditionalFormatting>
  <conditionalFormatting sqref="F6">
    <cfRule type="expression" priority="47" aboveAverage="0" equalAverage="0" bottom="0" percent="0" rank="0" text="" dxfId="5">
      <formula>AND(F$4&lt;=EOMONTH(Roadmap!$E$6,0),EOMONTH(F$4,0)&gt;=Roadmap!$D$6)</formula>
    </cfRule>
  </conditionalFormatting>
  <conditionalFormatting sqref="F7">
    <cfRule type="expression" priority="48" aboveAverage="0" equalAverage="0" bottom="0" percent="0" rank="0" text="" dxfId="5">
      <formula>AND(F$4&lt;=EOMONTH(Roadmap!$E$7,0),EOMONTH(F$4,0)&gt;=Roadmap!$D$7)</formula>
    </cfRule>
  </conditionalFormatting>
  <conditionalFormatting sqref="F8">
    <cfRule type="expression" priority="49" aboveAverage="0" equalAverage="0" bottom="0" percent="0" rank="0" text="" dxfId="5">
      <formula>AND(F$4&lt;=EOMONTH(Roadmap!$E$8,0),EOMONTH(F$4,0)&gt;=Roadmap!$D$8)</formula>
    </cfRule>
  </conditionalFormatting>
  <conditionalFormatting sqref="F9">
    <cfRule type="expression" priority="50" aboveAverage="0" equalAverage="0" bottom="0" percent="0" rank="0" text="" dxfId="5">
      <formula>AND(F$4&lt;=EOMONTH(Roadmap!$E$9,0),EOMONTH(F$4,0)&gt;=Roadmap!$D$9)</formula>
    </cfRule>
  </conditionalFormatting>
  <conditionalFormatting sqref="F10">
    <cfRule type="expression" priority="51" aboveAverage="0" equalAverage="0" bottom="0" percent="0" rank="0" text="" dxfId="5">
      <formula>AND(F$4&lt;=EOMONTH(Roadmap!$E$10,0),EOMONTH(F$4,0)&gt;=Roadmap!$D$10)</formula>
    </cfRule>
  </conditionalFormatting>
  <conditionalFormatting sqref="F11">
    <cfRule type="expression" priority="52" aboveAverage="0" equalAverage="0" bottom="0" percent="0" rank="0" text="" dxfId="5">
      <formula>AND(F$4&lt;=EOMONTH(Roadmap!$E$11,0),EOMONTH(F$4,0)&gt;=Roadmap!$D$11)</formula>
    </cfRule>
  </conditionalFormatting>
  <conditionalFormatting sqref="F12">
    <cfRule type="expression" priority="53" aboveAverage="0" equalAverage="0" bottom="0" percent="0" rank="0" text="" dxfId="5">
      <formula>AND(F$4&lt;=EOMONTH(Roadmap!$E$12,0),EOMONTH(F$4,0)&gt;=Roadmap!$D$12)</formula>
    </cfRule>
  </conditionalFormatting>
  <conditionalFormatting sqref="F13">
    <cfRule type="expression" priority="54" aboveAverage="0" equalAverage="0" bottom="0" percent="0" rank="0" text="" dxfId="5">
      <formula>AND(F$4&lt;=EOMONTH(Roadmap!$E$13,0),EOMONTH(F$4,0)&gt;=Roadmap!$D$13)</formula>
    </cfRule>
  </conditionalFormatting>
  <conditionalFormatting sqref="F14">
    <cfRule type="expression" priority="55" aboveAverage="0" equalAverage="0" bottom="0" percent="0" rank="0" text="" dxfId="5">
      <formula>AND(F$4&lt;=EOMONTH(Roadmap!$E$14,0),EOMONTH(F$4,0)&gt;=Roadmap!$D$14)</formula>
    </cfRule>
  </conditionalFormatting>
  <conditionalFormatting sqref="F15">
    <cfRule type="expression" priority="56" aboveAverage="0" equalAverage="0" bottom="0" percent="0" rank="0" text="" dxfId="5">
      <formula>AND(F$4&lt;=EOMONTH(Roadmap!$E$15,0),EOMONTH(F$4,0)&gt;=Roadmap!$D$15)</formula>
    </cfRule>
  </conditionalFormatting>
  <conditionalFormatting sqref="G5">
    <cfRule type="expression" priority="57" aboveAverage="0" equalAverage="0" bottom="0" percent="0" rank="0" text="" dxfId="5">
      <formula>AND(G$4&lt;=EOMONTH(Roadmap!$E$5,0),EOMONTH(G$4,0)&gt;=Roadmap!$D$5)</formula>
    </cfRule>
  </conditionalFormatting>
  <conditionalFormatting sqref="G6">
    <cfRule type="expression" priority="58" aboveAverage="0" equalAverage="0" bottom="0" percent="0" rank="0" text="" dxfId="5">
      <formula>AND(G$4&lt;=EOMONTH(Roadmap!$E$6,0),EOMONTH(G$4,0)&gt;=Roadmap!$D$6)</formula>
    </cfRule>
  </conditionalFormatting>
  <conditionalFormatting sqref="G7">
    <cfRule type="expression" priority="59" aboveAverage="0" equalAverage="0" bottom="0" percent="0" rank="0" text="" dxfId="5">
      <formula>AND(G$4&lt;=EOMONTH(Roadmap!$E$7,0),EOMONTH(G$4,0)&gt;=Roadmap!$D$7)</formula>
    </cfRule>
  </conditionalFormatting>
  <conditionalFormatting sqref="G8">
    <cfRule type="expression" priority="60" aboveAverage="0" equalAverage="0" bottom="0" percent="0" rank="0" text="" dxfId="5">
      <formula>AND(G$4&lt;=EOMONTH(Roadmap!$E$8,0),EOMONTH(G$4,0)&gt;=Roadmap!$D$8)</formula>
    </cfRule>
  </conditionalFormatting>
  <conditionalFormatting sqref="G9">
    <cfRule type="expression" priority="61" aboveAverage="0" equalAverage="0" bottom="0" percent="0" rank="0" text="" dxfId="5">
      <formula>AND(G$4&lt;=EOMONTH(Roadmap!$E$9,0),EOMONTH(G$4,0)&gt;=Roadmap!$D$9)</formula>
    </cfRule>
  </conditionalFormatting>
  <conditionalFormatting sqref="G10">
    <cfRule type="expression" priority="62" aboveAverage="0" equalAverage="0" bottom="0" percent="0" rank="0" text="" dxfId="5">
      <formula>AND(G$4&lt;=EOMONTH(Roadmap!$E$10,0),EOMONTH(G$4,0)&gt;=Roadmap!$D$10)</formula>
    </cfRule>
  </conditionalFormatting>
  <conditionalFormatting sqref="G11">
    <cfRule type="expression" priority="63" aboveAverage="0" equalAverage="0" bottom="0" percent="0" rank="0" text="" dxfId="5">
      <formula>AND(G$4&lt;=EOMONTH(Roadmap!$E$11,0),EOMONTH(G$4,0)&gt;=Roadmap!$D$11)</formula>
    </cfRule>
  </conditionalFormatting>
  <conditionalFormatting sqref="G12">
    <cfRule type="expression" priority="64" aboveAverage="0" equalAverage="0" bottom="0" percent="0" rank="0" text="" dxfId="5">
      <formula>AND(G$4&lt;=EOMONTH(Roadmap!$E$12,0),EOMONTH(G$4,0)&gt;=Roadmap!$D$12)</formula>
    </cfRule>
  </conditionalFormatting>
  <conditionalFormatting sqref="G13">
    <cfRule type="expression" priority="65" aboveAverage="0" equalAverage="0" bottom="0" percent="0" rank="0" text="" dxfId="5">
      <formula>AND(G$4&lt;=EOMONTH(Roadmap!$E$13,0),EOMONTH(G$4,0)&gt;=Roadmap!$D$13)</formula>
    </cfRule>
  </conditionalFormatting>
  <conditionalFormatting sqref="G14">
    <cfRule type="expression" priority="66" aboveAverage="0" equalAverage="0" bottom="0" percent="0" rank="0" text="" dxfId="5">
      <formula>AND(G$4&lt;=EOMONTH(Roadmap!$E$14,0),EOMONTH(G$4,0)&gt;=Roadmap!$D$14)</formula>
    </cfRule>
  </conditionalFormatting>
  <conditionalFormatting sqref="G15">
    <cfRule type="expression" priority="67" aboveAverage="0" equalAverage="0" bottom="0" percent="0" rank="0" text="" dxfId="5">
      <formula>AND(G$4&lt;=EOMONTH(Roadmap!$E$15,0),EOMONTH(G$4,0)&gt;=Roadmap!$D$15)</formula>
    </cfRule>
  </conditionalFormatting>
  <conditionalFormatting sqref="H5">
    <cfRule type="expression" priority="68" aboveAverage="0" equalAverage="0" bottom="0" percent="0" rank="0" text="" dxfId="5">
      <formula>AND(H$4&lt;=EOMONTH(Roadmap!$E$5,0),EOMONTH(H$4,0)&gt;=Roadmap!$D$5)</formula>
    </cfRule>
  </conditionalFormatting>
  <conditionalFormatting sqref="H6">
    <cfRule type="expression" priority="69" aboveAverage="0" equalAverage="0" bottom="0" percent="0" rank="0" text="" dxfId="5">
      <formula>AND(H$4&lt;=EOMONTH(Roadmap!$E$6,0),EOMONTH(H$4,0)&gt;=Roadmap!$D$6)</formula>
    </cfRule>
  </conditionalFormatting>
  <conditionalFormatting sqref="H7">
    <cfRule type="expression" priority="70" aboveAverage="0" equalAverage="0" bottom="0" percent="0" rank="0" text="" dxfId="5">
      <formula>AND(H$4&lt;=EOMONTH(Roadmap!$E$7,0),EOMONTH(H$4,0)&gt;=Roadmap!$D$7)</formula>
    </cfRule>
  </conditionalFormatting>
  <conditionalFormatting sqref="H8">
    <cfRule type="expression" priority="71" aboveAverage="0" equalAverage="0" bottom="0" percent="0" rank="0" text="" dxfId="5">
      <formula>AND(H$4&lt;=EOMONTH(Roadmap!$E$8,0),EOMONTH(H$4,0)&gt;=Roadmap!$D$8)</formula>
    </cfRule>
  </conditionalFormatting>
  <conditionalFormatting sqref="H9">
    <cfRule type="expression" priority="72" aboveAverage="0" equalAverage="0" bottom="0" percent="0" rank="0" text="" dxfId="5">
      <formula>AND(H$4&lt;=EOMONTH(Roadmap!$E$9,0),EOMONTH(H$4,0)&gt;=Roadmap!$D$9)</formula>
    </cfRule>
  </conditionalFormatting>
  <conditionalFormatting sqref="H10">
    <cfRule type="expression" priority="73" aboveAverage="0" equalAverage="0" bottom="0" percent="0" rank="0" text="" dxfId="5">
      <formula>AND(H$4&lt;=EOMONTH(Roadmap!$E$10,0),EOMONTH(H$4,0)&gt;=Roadmap!$D$10)</formula>
    </cfRule>
  </conditionalFormatting>
  <conditionalFormatting sqref="H11">
    <cfRule type="expression" priority="74" aboveAverage="0" equalAverage="0" bottom="0" percent="0" rank="0" text="" dxfId="5">
      <formula>AND(H$4&lt;=EOMONTH(Roadmap!$E$11,0),EOMONTH(H$4,0)&gt;=Roadmap!$D$11)</formula>
    </cfRule>
  </conditionalFormatting>
  <conditionalFormatting sqref="H12">
    <cfRule type="expression" priority="75" aboveAverage="0" equalAverage="0" bottom="0" percent="0" rank="0" text="" dxfId="5">
      <formula>AND(H$4&lt;=EOMONTH(Roadmap!$E$12,0),EOMONTH(H$4,0)&gt;=Roadmap!$D$12)</formula>
    </cfRule>
  </conditionalFormatting>
  <conditionalFormatting sqref="H13">
    <cfRule type="expression" priority="76" aboveAverage="0" equalAverage="0" bottom="0" percent="0" rank="0" text="" dxfId="5">
      <formula>AND(H$4&lt;=EOMONTH(Roadmap!$E$13,0),EOMONTH(H$4,0)&gt;=Roadmap!$D$13)</formula>
    </cfRule>
  </conditionalFormatting>
  <conditionalFormatting sqref="H14">
    <cfRule type="expression" priority="77" aboveAverage="0" equalAverage="0" bottom="0" percent="0" rank="0" text="" dxfId="5">
      <formula>AND(H$4&lt;=EOMONTH(Roadmap!$E$14,0),EOMONTH(H$4,0)&gt;=Roadmap!$D$14)</formula>
    </cfRule>
  </conditionalFormatting>
  <conditionalFormatting sqref="H15">
    <cfRule type="expression" priority="78" aboveAverage="0" equalAverage="0" bottom="0" percent="0" rank="0" text="" dxfId="5">
      <formula>AND(H$4&lt;=EOMONTH(Roadmap!$E$15,0),EOMONTH(H$4,0)&gt;=Roadmap!$D$15)</formula>
    </cfRule>
  </conditionalFormatting>
  <conditionalFormatting sqref="I5">
    <cfRule type="expression" priority="79" aboveAverage="0" equalAverage="0" bottom="0" percent="0" rank="0" text="" dxfId="5">
      <formula>AND(I$4&lt;=EOMONTH(Roadmap!$E$5,0),EOMONTH(I$4,0)&gt;=Roadmap!$D$5)</formula>
    </cfRule>
  </conditionalFormatting>
  <conditionalFormatting sqref="I6">
    <cfRule type="expression" priority="80" aboveAverage="0" equalAverage="0" bottom="0" percent="0" rank="0" text="" dxfId="5">
      <formula>AND(I$4&lt;=EOMONTH(Roadmap!$E$6,0),EOMONTH(I$4,0)&gt;=Roadmap!$D$6)</formula>
    </cfRule>
  </conditionalFormatting>
  <conditionalFormatting sqref="I7">
    <cfRule type="expression" priority="81" aboveAverage="0" equalAverage="0" bottom="0" percent="0" rank="0" text="" dxfId="5">
      <formula>AND(I$4&lt;=EOMONTH(Roadmap!$E$7,0),EOMONTH(I$4,0)&gt;=Roadmap!$D$7)</formula>
    </cfRule>
  </conditionalFormatting>
  <conditionalFormatting sqref="I8">
    <cfRule type="expression" priority="82" aboveAverage="0" equalAverage="0" bottom="0" percent="0" rank="0" text="" dxfId="5">
      <formula>AND(I$4&lt;=EOMONTH(Roadmap!$E$8,0),EOMONTH(I$4,0)&gt;=Roadmap!$D$8)</formula>
    </cfRule>
  </conditionalFormatting>
  <conditionalFormatting sqref="I9">
    <cfRule type="expression" priority="83" aboveAverage="0" equalAverage="0" bottom="0" percent="0" rank="0" text="" dxfId="5">
      <formula>AND(I$4&lt;=EOMONTH(Roadmap!$E$9,0),EOMONTH(I$4,0)&gt;=Roadmap!$D$9)</formula>
    </cfRule>
  </conditionalFormatting>
  <conditionalFormatting sqref="I10">
    <cfRule type="expression" priority="84" aboveAverage="0" equalAverage="0" bottom="0" percent="0" rank="0" text="" dxfId="5">
      <formula>AND(I$4&lt;=EOMONTH(Roadmap!$E$10,0),EOMONTH(I$4,0)&gt;=Roadmap!$D$10)</formula>
    </cfRule>
  </conditionalFormatting>
  <conditionalFormatting sqref="I11">
    <cfRule type="expression" priority="85" aboveAverage="0" equalAverage="0" bottom="0" percent="0" rank="0" text="" dxfId="5">
      <formula>AND(I$4&lt;=EOMONTH(Roadmap!$E$11,0),EOMONTH(I$4,0)&gt;=Roadmap!$D$11)</formula>
    </cfRule>
  </conditionalFormatting>
  <conditionalFormatting sqref="I12">
    <cfRule type="expression" priority="86" aboveAverage="0" equalAverage="0" bottom="0" percent="0" rank="0" text="" dxfId="5">
      <formula>AND(I$4&lt;=EOMONTH(Roadmap!$E$12,0),EOMONTH(I$4,0)&gt;=Roadmap!$D$12)</formula>
    </cfRule>
  </conditionalFormatting>
  <conditionalFormatting sqref="I13">
    <cfRule type="expression" priority="87" aboveAverage="0" equalAverage="0" bottom="0" percent="0" rank="0" text="" dxfId="5">
      <formula>AND(I$4&lt;=EOMONTH(Roadmap!$E$13,0),EOMONTH(I$4,0)&gt;=Roadmap!$D$13)</formula>
    </cfRule>
  </conditionalFormatting>
  <conditionalFormatting sqref="I14">
    <cfRule type="expression" priority="88" aboveAverage="0" equalAverage="0" bottom="0" percent="0" rank="0" text="" dxfId="5">
      <formula>AND(I$4&lt;=EOMONTH(Roadmap!$E$14,0),EOMONTH(I$4,0)&gt;=Roadmap!$D$14)</formula>
    </cfRule>
  </conditionalFormatting>
  <conditionalFormatting sqref="I15">
    <cfRule type="expression" priority="89" aboveAverage="0" equalAverage="0" bottom="0" percent="0" rank="0" text="" dxfId="5">
      <formula>AND(I$4&lt;=EOMONTH(Roadmap!$E$15,0),EOMONTH(I$4,0)&gt;=Roadmap!$D$15)</formula>
    </cfRule>
  </conditionalFormatting>
  <conditionalFormatting sqref="J5">
    <cfRule type="expression" priority="90" aboveAverage="0" equalAverage="0" bottom="0" percent="0" rank="0" text="" dxfId="5">
      <formula>AND(J$4&lt;=EOMONTH(Roadmap!$E$5,0),EOMONTH(J$4,0)&gt;=Roadmap!$D$5)</formula>
    </cfRule>
  </conditionalFormatting>
  <conditionalFormatting sqref="J6">
    <cfRule type="expression" priority="91" aboveAverage="0" equalAverage="0" bottom="0" percent="0" rank="0" text="" dxfId="5">
      <formula>AND(J$4&lt;=EOMONTH(Roadmap!$E$6,0),EOMONTH(J$4,0)&gt;=Roadmap!$D$6)</formula>
    </cfRule>
  </conditionalFormatting>
  <conditionalFormatting sqref="J7">
    <cfRule type="expression" priority="92" aboveAverage="0" equalAverage="0" bottom="0" percent="0" rank="0" text="" dxfId="5">
      <formula>AND(J$4&lt;=EOMONTH(Roadmap!$E$7,0),EOMONTH(J$4,0)&gt;=Roadmap!$D$7)</formula>
    </cfRule>
  </conditionalFormatting>
  <conditionalFormatting sqref="J8">
    <cfRule type="expression" priority="93" aboveAverage="0" equalAverage="0" bottom="0" percent="0" rank="0" text="" dxfId="5">
      <formula>AND(J$4&lt;=EOMONTH(Roadmap!$E$8,0),EOMONTH(J$4,0)&gt;=Roadmap!$D$8)</formula>
    </cfRule>
  </conditionalFormatting>
  <conditionalFormatting sqref="J9">
    <cfRule type="expression" priority="94" aboveAverage="0" equalAverage="0" bottom="0" percent="0" rank="0" text="" dxfId="5">
      <formula>AND(J$4&lt;=EOMONTH(Roadmap!$E$9,0),EOMONTH(J$4,0)&gt;=Roadmap!$D$9)</formula>
    </cfRule>
  </conditionalFormatting>
  <conditionalFormatting sqref="J10">
    <cfRule type="expression" priority="95" aboveAverage="0" equalAverage="0" bottom="0" percent="0" rank="0" text="" dxfId="5">
      <formula>AND(J$4&lt;=EOMONTH(Roadmap!$E$10,0),EOMONTH(J$4,0)&gt;=Roadmap!$D$10)</formula>
    </cfRule>
  </conditionalFormatting>
  <conditionalFormatting sqref="J11">
    <cfRule type="expression" priority="96" aboveAverage="0" equalAverage="0" bottom="0" percent="0" rank="0" text="" dxfId="5">
      <formula>AND(J$4&lt;=EOMONTH(Roadmap!$E$11,0),EOMONTH(J$4,0)&gt;=Roadmap!$D$11)</formula>
    </cfRule>
  </conditionalFormatting>
  <conditionalFormatting sqref="J12">
    <cfRule type="expression" priority="97" aboveAverage="0" equalAverage="0" bottom="0" percent="0" rank="0" text="" dxfId="5">
      <formula>AND(J$4&lt;=EOMONTH(Roadmap!$E$12,0),EOMONTH(J$4,0)&gt;=Roadmap!$D$12)</formula>
    </cfRule>
  </conditionalFormatting>
  <conditionalFormatting sqref="J13">
    <cfRule type="expression" priority="98" aboveAverage="0" equalAverage="0" bottom="0" percent="0" rank="0" text="" dxfId="5">
      <formula>AND(J$4&lt;=EOMONTH(Roadmap!$E$13,0),EOMONTH(J$4,0)&gt;=Roadmap!$D$13)</formula>
    </cfRule>
  </conditionalFormatting>
  <conditionalFormatting sqref="J14">
    <cfRule type="expression" priority="99" aboveAverage="0" equalAverage="0" bottom="0" percent="0" rank="0" text="" dxfId="5">
      <formula>AND(J$4&lt;=EOMONTH(Roadmap!$E$14,0),EOMONTH(J$4,0)&gt;=Roadmap!$D$14)</formula>
    </cfRule>
  </conditionalFormatting>
  <conditionalFormatting sqref="J15">
    <cfRule type="expression" priority="100" aboveAverage="0" equalAverage="0" bottom="0" percent="0" rank="0" text="" dxfId="5">
      <formula>AND(J$4&lt;=EOMONTH(Roadmap!$E$15,0),EOMONTH(J$4,0)&gt;=Roadmap!$D$15)</formula>
    </cfRule>
  </conditionalFormatting>
  <conditionalFormatting sqref="K5">
    <cfRule type="expression" priority="101" aboveAverage="0" equalAverage="0" bottom="0" percent="0" rank="0" text="" dxfId="5">
      <formula>AND(K$4&lt;=EOMONTH(Roadmap!$E$5,0),EOMONTH(K$4,0)&gt;=Roadmap!$D$5)</formula>
    </cfRule>
  </conditionalFormatting>
  <conditionalFormatting sqref="K6">
    <cfRule type="expression" priority="102" aboveAverage="0" equalAverage="0" bottom="0" percent="0" rank="0" text="" dxfId="5">
      <formula>AND(K$4&lt;=EOMONTH(Roadmap!$E$6,0),EOMONTH(K$4,0)&gt;=Roadmap!$D$6)</formula>
    </cfRule>
  </conditionalFormatting>
  <conditionalFormatting sqref="K7">
    <cfRule type="expression" priority="103" aboveAverage="0" equalAverage="0" bottom="0" percent="0" rank="0" text="" dxfId="5">
      <formula>AND(K$4&lt;=EOMONTH(Roadmap!$E$7,0),EOMONTH(K$4,0)&gt;=Roadmap!$D$7)</formula>
    </cfRule>
  </conditionalFormatting>
  <conditionalFormatting sqref="K8">
    <cfRule type="expression" priority="104" aboveAverage="0" equalAverage="0" bottom="0" percent="0" rank="0" text="" dxfId="5">
      <formula>AND(K$4&lt;=EOMONTH(Roadmap!$E$8,0),EOMONTH(K$4,0)&gt;=Roadmap!$D$8)</formula>
    </cfRule>
  </conditionalFormatting>
  <conditionalFormatting sqref="K9">
    <cfRule type="expression" priority="105" aboveAverage="0" equalAverage="0" bottom="0" percent="0" rank="0" text="" dxfId="5">
      <formula>AND(K$4&lt;=EOMONTH(Roadmap!$E$9,0),EOMONTH(K$4,0)&gt;=Roadmap!$D$9)</formula>
    </cfRule>
  </conditionalFormatting>
  <conditionalFormatting sqref="K10">
    <cfRule type="expression" priority="106" aboveAverage="0" equalAverage="0" bottom="0" percent="0" rank="0" text="" dxfId="5">
      <formula>AND(K$4&lt;=EOMONTH(Roadmap!$E$10,0),EOMONTH(K$4,0)&gt;=Roadmap!$D$10)</formula>
    </cfRule>
  </conditionalFormatting>
  <conditionalFormatting sqref="K11">
    <cfRule type="expression" priority="107" aboveAverage="0" equalAverage="0" bottom="0" percent="0" rank="0" text="" dxfId="5">
      <formula>AND(K$4&lt;=EOMONTH(Roadmap!$E$11,0),EOMONTH(K$4,0)&gt;=Roadmap!$D$11)</formula>
    </cfRule>
  </conditionalFormatting>
  <conditionalFormatting sqref="K12">
    <cfRule type="expression" priority="108" aboveAverage="0" equalAverage="0" bottom="0" percent="0" rank="0" text="" dxfId="5">
      <formula>AND(K$4&lt;=EOMONTH(Roadmap!$E$12,0),EOMONTH(K$4,0)&gt;=Roadmap!$D$12)</formula>
    </cfRule>
  </conditionalFormatting>
  <conditionalFormatting sqref="K13">
    <cfRule type="expression" priority="109" aboveAverage="0" equalAverage="0" bottom="0" percent="0" rank="0" text="" dxfId="5">
      <formula>AND(K$4&lt;=EOMONTH(Roadmap!$E$13,0),EOMONTH(K$4,0)&gt;=Roadmap!$D$13)</formula>
    </cfRule>
  </conditionalFormatting>
  <conditionalFormatting sqref="K14">
    <cfRule type="expression" priority="110" aboveAverage="0" equalAverage="0" bottom="0" percent="0" rank="0" text="" dxfId="5">
      <formula>AND(K$4&lt;=EOMONTH(Roadmap!$E$14,0),EOMONTH(K$4,0)&gt;=Roadmap!$D$14)</formula>
    </cfRule>
  </conditionalFormatting>
  <conditionalFormatting sqref="K15">
    <cfRule type="expression" priority="111" aboveAverage="0" equalAverage="0" bottom="0" percent="0" rank="0" text="" dxfId="5">
      <formula>AND(K$4&lt;=EOMONTH(Roadmap!$E$15,0),EOMONTH(K$4,0)&gt;=Roadmap!$D$15)</formula>
    </cfRule>
  </conditionalFormatting>
  <conditionalFormatting sqref="L5">
    <cfRule type="expression" priority="112" aboveAverage="0" equalAverage="0" bottom="0" percent="0" rank="0" text="" dxfId="5">
      <formula>AND(L$4&lt;=EOMONTH(Roadmap!$E$5,0),EOMONTH(L$4,0)&gt;=Roadmap!$D$5)</formula>
    </cfRule>
  </conditionalFormatting>
  <conditionalFormatting sqref="L6">
    <cfRule type="expression" priority="113" aboveAverage="0" equalAverage="0" bottom="0" percent="0" rank="0" text="" dxfId="5">
      <formula>AND(L$4&lt;=EOMONTH(Roadmap!$E$6,0),EOMONTH(L$4,0)&gt;=Roadmap!$D$6)</formula>
    </cfRule>
  </conditionalFormatting>
  <conditionalFormatting sqref="L7">
    <cfRule type="expression" priority="114" aboveAverage="0" equalAverage="0" bottom="0" percent="0" rank="0" text="" dxfId="5">
      <formula>AND(L$4&lt;=EOMONTH(Roadmap!$E$7,0),EOMONTH(L$4,0)&gt;=Roadmap!$D$7)</formula>
    </cfRule>
  </conditionalFormatting>
  <conditionalFormatting sqref="L8">
    <cfRule type="expression" priority="115" aboveAverage="0" equalAverage="0" bottom="0" percent="0" rank="0" text="" dxfId="5">
      <formula>AND(L$4&lt;=EOMONTH(Roadmap!$E$8,0),EOMONTH(L$4,0)&gt;=Roadmap!$D$8)</formula>
    </cfRule>
  </conditionalFormatting>
  <conditionalFormatting sqref="L9">
    <cfRule type="expression" priority="116" aboveAverage="0" equalAverage="0" bottom="0" percent="0" rank="0" text="" dxfId="5">
      <formula>AND(L$4&lt;=EOMONTH(Roadmap!$E$9,0),EOMONTH(L$4,0)&gt;=Roadmap!$D$9)</formula>
    </cfRule>
  </conditionalFormatting>
  <conditionalFormatting sqref="L10">
    <cfRule type="expression" priority="117" aboveAverage="0" equalAverage="0" bottom="0" percent="0" rank="0" text="" dxfId="5">
      <formula>AND(L$4&lt;=EOMONTH(Roadmap!$E$10,0),EOMONTH(L$4,0)&gt;=Roadmap!$D$10)</formula>
    </cfRule>
  </conditionalFormatting>
  <conditionalFormatting sqref="L11">
    <cfRule type="expression" priority="118" aboveAverage="0" equalAverage="0" bottom="0" percent="0" rank="0" text="" dxfId="5">
      <formula>AND(L$4&lt;=EOMONTH(Roadmap!$E$11,0),EOMONTH(L$4,0)&gt;=Roadmap!$D$11)</formula>
    </cfRule>
  </conditionalFormatting>
  <conditionalFormatting sqref="L12">
    <cfRule type="expression" priority="119" aboveAverage="0" equalAverage="0" bottom="0" percent="0" rank="0" text="" dxfId="5">
      <formula>AND(L$4&lt;=EOMONTH(Roadmap!$E$12,0),EOMONTH(L$4,0)&gt;=Roadmap!$D$12)</formula>
    </cfRule>
  </conditionalFormatting>
  <conditionalFormatting sqref="L13">
    <cfRule type="expression" priority="120" aboveAverage="0" equalAverage="0" bottom="0" percent="0" rank="0" text="" dxfId="5">
      <formula>AND(L$4&lt;=EOMONTH(Roadmap!$E$13,0),EOMONTH(L$4,0)&gt;=Roadmap!$D$13)</formula>
    </cfRule>
  </conditionalFormatting>
  <conditionalFormatting sqref="L14">
    <cfRule type="expression" priority="121" aboveAverage="0" equalAverage="0" bottom="0" percent="0" rank="0" text="" dxfId="5">
      <formula>AND(L$4&lt;=EOMONTH(Roadmap!$E$14,0),EOMONTH(L$4,0)&gt;=Roadmap!$D$14)</formula>
    </cfRule>
  </conditionalFormatting>
  <conditionalFormatting sqref="L15">
    <cfRule type="expression" priority="122" aboveAverage="0" equalAverage="0" bottom="0" percent="0" rank="0" text="" dxfId="5">
      <formula>AND(L$4&lt;=EOMONTH(Roadmap!$E$15,0),EOMONTH(L$4,0)&gt;=Roadmap!$D$15)</formula>
    </cfRule>
  </conditionalFormatting>
  <conditionalFormatting sqref="M5">
    <cfRule type="expression" priority="123" aboveAverage="0" equalAverage="0" bottom="0" percent="0" rank="0" text="" dxfId="5">
      <formula>AND(M$4&lt;=EOMONTH(Roadmap!$E$5,0),EOMONTH(M$4,0)&gt;=Roadmap!$D$5)</formula>
    </cfRule>
  </conditionalFormatting>
  <conditionalFormatting sqref="M6">
    <cfRule type="expression" priority="124" aboveAverage="0" equalAverage="0" bottom="0" percent="0" rank="0" text="" dxfId="5">
      <formula>AND(M$4&lt;=EOMONTH(Roadmap!$E$6,0),EOMONTH(M$4,0)&gt;=Roadmap!$D$6)</formula>
    </cfRule>
  </conditionalFormatting>
  <conditionalFormatting sqref="M7">
    <cfRule type="expression" priority="125" aboveAverage="0" equalAverage="0" bottom="0" percent="0" rank="0" text="" dxfId="5">
      <formula>AND(M$4&lt;=EOMONTH(Roadmap!$E$7,0),EOMONTH(M$4,0)&gt;=Roadmap!$D$7)</formula>
    </cfRule>
  </conditionalFormatting>
  <conditionalFormatting sqref="M8">
    <cfRule type="expression" priority="126" aboveAverage="0" equalAverage="0" bottom="0" percent="0" rank="0" text="" dxfId="5">
      <formula>AND(M$4&lt;=EOMONTH(Roadmap!$E$8,0),EOMONTH(M$4,0)&gt;=Roadmap!$D$8)</formula>
    </cfRule>
  </conditionalFormatting>
  <conditionalFormatting sqref="M9">
    <cfRule type="expression" priority="127" aboveAverage="0" equalAverage="0" bottom="0" percent="0" rank="0" text="" dxfId="5">
      <formula>AND(M$4&lt;=EOMONTH(Roadmap!$E$9,0),EOMONTH(M$4,0)&gt;=Roadmap!$D$9)</formula>
    </cfRule>
  </conditionalFormatting>
  <conditionalFormatting sqref="M10">
    <cfRule type="expression" priority="128" aboveAverage="0" equalAverage="0" bottom="0" percent="0" rank="0" text="" dxfId="5">
      <formula>AND(M$4&lt;=EOMONTH(Roadmap!$E$10,0),EOMONTH(M$4,0)&gt;=Roadmap!$D$10)</formula>
    </cfRule>
  </conditionalFormatting>
  <conditionalFormatting sqref="M11">
    <cfRule type="expression" priority="129" aboveAverage="0" equalAverage="0" bottom="0" percent="0" rank="0" text="" dxfId="5">
      <formula>AND(M$4&lt;=EOMONTH(Roadmap!$E$11,0),EOMONTH(M$4,0)&gt;=Roadmap!$D$11)</formula>
    </cfRule>
  </conditionalFormatting>
  <conditionalFormatting sqref="M12">
    <cfRule type="expression" priority="130" aboveAverage="0" equalAverage="0" bottom="0" percent="0" rank="0" text="" dxfId="5">
      <formula>AND(M$4&lt;=EOMONTH(Roadmap!$E$12,0),EOMONTH(M$4,0)&gt;=Roadmap!$D$12)</formula>
    </cfRule>
  </conditionalFormatting>
  <conditionalFormatting sqref="M13">
    <cfRule type="expression" priority="131" aboveAverage="0" equalAverage="0" bottom="0" percent="0" rank="0" text="" dxfId="5">
      <formula>AND(M$4&lt;=EOMONTH(Roadmap!$E$13,0),EOMONTH(M$4,0)&gt;=Roadmap!$D$13)</formula>
    </cfRule>
  </conditionalFormatting>
  <conditionalFormatting sqref="M14">
    <cfRule type="expression" priority="132" aboveAverage="0" equalAverage="0" bottom="0" percent="0" rank="0" text="" dxfId="5">
      <formula>AND(M$4&lt;=EOMONTH(Roadmap!$E$14,0),EOMONTH(M$4,0)&gt;=Roadmap!$D$14)</formula>
    </cfRule>
  </conditionalFormatting>
  <conditionalFormatting sqref="M15">
    <cfRule type="expression" priority="133" aboveAverage="0" equalAverage="0" bottom="0" percent="0" rank="0" text="" dxfId="5">
      <formula>AND(M$4&lt;=EOMONTH(Roadmap!$E$15,0),EOMONTH(M$4,0)&gt;=Roadmap!$D$15)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2026-08-05T20:37:18Z</dcterms:created>
  <dc:creator>openpyxl</dc:creator>
  <dc:description/>
  <dc:language>en-US</dc:language>
  <cp:lastModifiedBy/>
  <dcterms:modified xsi:type="dcterms:W3CDTF">2026-08-05T20:37:18Z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